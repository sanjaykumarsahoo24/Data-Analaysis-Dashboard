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https://d.docs.live.net/98e089afd6d96a44/문서/"/>
    </mc:Choice>
  </mc:AlternateContent>
  <xr:revisionPtr revIDLastSave="346" documentId="8_{694DD385-E87E-4735-BC90-4C874F9D1912}" xr6:coauthVersionLast="47" xr6:coauthVersionMax="47" xr10:uidLastSave="{094EA0AB-2355-4F39-9538-99E208077A15}"/>
  <bookViews>
    <workbookView xWindow="-98" yWindow="-98" windowWidth="21795" windowHeight="12975" xr2:uid="{00000000-000D-0000-FFFF-FFFF00000000}"/>
  </bookViews>
  <sheets>
    <sheet name="data" sheetId="1" r:id="rId1"/>
    <sheet name="Sheet1" sheetId="3" r:id="rId2"/>
    <sheet name="Sheet2" sheetId="4" r:id="rId3"/>
    <sheet name="Sheet3" sheetId="5" r:id="rId4"/>
    <sheet name="Sheet4" sheetId="6" r:id="rId5"/>
    <sheet name="Sheet7" sheetId="10" r:id="rId6"/>
    <sheet name="Sheet8" sheetId="11" r:id="rId7"/>
    <sheet name="Sheet9" sheetId="14" r:id="rId8"/>
    <sheet name="BACKGROUND" sheetId="7" r:id="rId9"/>
  </sheets>
  <definedNames>
    <definedName name="Slicer_Estimated_Impact_Year">#N/A</definedName>
    <definedName name="Slicer_Industry">#N/A</definedName>
    <definedName name="Slicer_Location">#N/A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14" l="1"/>
  <c r="B7" i="14"/>
  <c r="A7" i="14"/>
</calcChain>
</file>

<file path=xl/sharedStrings.xml><?xml version="1.0" encoding="utf-8"?>
<sst xmlns="http://schemas.openxmlformats.org/spreadsheetml/2006/main" count="2107" uniqueCount="75">
  <si>
    <t>Job_ID</t>
  </si>
  <si>
    <t>Job_Title</t>
  </si>
  <si>
    <t>Industry</t>
  </si>
  <si>
    <t>Current_Employees</t>
  </si>
  <si>
    <t>At_Risk_Percent</t>
  </si>
  <si>
    <t>Safe_Percent</t>
  </si>
  <si>
    <t>Estimated_Impact_Year</t>
  </si>
  <si>
    <t>Salary (INR)</t>
  </si>
  <si>
    <t>Skill_Upgrade_Required</t>
  </si>
  <si>
    <t>Location</t>
  </si>
  <si>
    <t>News Reporter</t>
  </si>
  <si>
    <t>Help Desk Technician</t>
  </si>
  <si>
    <t>Technical Support Staff</t>
  </si>
  <si>
    <t>Billing Clerk</t>
  </si>
  <si>
    <t>Clerical Assistant</t>
  </si>
  <si>
    <t>Travel Agent</t>
  </si>
  <si>
    <t>Taxi Driver</t>
  </si>
  <si>
    <t>Receptionist</t>
  </si>
  <si>
    <t>Bank Clerk</t>
  </si>
  <si>
    <t>Machine Operator</t>
  </si>
  <si>
    <t>Library Assistant</t>
  </si>
  <si>
    <t>Retail Cashier</t>
  </si>
  <si>
    <t>Customer Support Rep</t>
  </si>
  <si>
    <t>Warehouse Assistant</t>
  </si>
  <si>
    <t>Data Entry Clerk</t>
  </si>
  <si>
    <t>Security Guard</t>
  </si>
  <si>
    <t>Cleaner</t>
  </si>
  <si>
    <t>Parking Attendant</t>
  </si>
  <si>
    <t>Food Delivery Executive</t>
  </si>
  <si>
    <t>Call Center Agent</t>
  </si>
  <si>
    <t>Media</t>
  </si>
  <si>
    <t>Tech Support</t>
  </si>
  <si>
    <t>IT Support</t>
  </si>
  <si>
    <t>Finance</t>
  </si>
  <si>
    <t>Admin</t>
  </si>
  <si>
    <t>Tourism</t>
  </si>
  <si>
    <t>Transport</t>
  </si>
  <si>
    <t>Hospitality</t>
  </si>
  <si>
    <t>Banking</t>
  </si>
  <si>
    <t>Manufacturing</t>
  </si>
  <si>
    <t>Education</t>
  </si>
  <si>
    <t>Retail</t>
  </si>
  <si>
    <t>Support</t>
  </si>
  <si>
    <t>Logistics</t>
  </si>
  <si>
    <t>Admin Support</t>
  </si>
  <si>
    <t>Security</t>
  </si>
  <si>
    <t>Maintenance</t>
  </si>
  <si>
    <t>Customer Service</t>
  </si>
  <si>
    <t>Yes</t>
  </si>
  <si>
    <t>No</t>
  </si>
  <si>
    <t>Delhi</t>
  </si>
  <si>
    <t>Hyderabad</t>
  </si>
  <si>
    <t>Bhubaneswar</t>
  </si>
  <si>
    <t>Chennai</t>
  </si>
  <si>
    <t>Pune</t>
  </si>
  <si>
    <t>Nagpur</t>
  </si>
  <si>
    <t>Lucknow</t>
  </si>
  <si>
    <t>Goa</t>
  </si>
  <si>
    <t>Bangalore</t>
  </si>
  <si>
    <t>Jaipur</t>
  </si>
  <si>
    <t>Patna</t>
  </si>
  <si>
    <t>Ahmedabad</t>
  </si>
  <si>
    <t>Indore</t>
  </si>
  <si>
    <t>Kolkata</t>
  </si>
  <si>
    <t>Mumbai</t>
  </si>
  <si>
    <t>Row Labels</t>
  </si>
  <si>
    <t>Grand Total</t>
  </si>
  <si>
    <t>Sum of Current_Employees</t>
  </si>
  <si>
    <t>Sum of Safe_Percent</t>
  </si>
  <si>
    <t>Average of At_Risk_Percent</t>
  </si>
  <si>
    <t>Average of Safe_Percent</t>
  </si>
  <si>
    <t>RISK PERCENTAGE</t>
  </si>
  <si>
    <t>TOTAL EMPLOYEE</t>
  </si>
  <si>
    <t>SAFE PERCENTAGE</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</si>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</sst>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3" tint="0.59999389629810485"/>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[AI_Automation_Job_Impact_500Rows (Recovered).xlsx]Sheet1!PivotTable1</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Sheet1!$B$3</c:f>
              <c:strCache>
                <c:ptCount val="1"/>
                <c:pt idx="0">
                  <c:v>Total</c:v>
                </c:pt>
              </c:strCache>
            </c:strRef>
          </c:tx>
          <c:spPr>
            <a:solidFill>
              <a:schemeClr val="accent1"/>
            </a:solidFill>
            <a:ln>
              <a:noFill/>
            </a:ln>
            <a:effectLst/>
            <a:sp3d/>
          </c:spPr>
          <c:invertIfNegative val="0"/>
          <c:cat>
            <c:strRef>
              <c:f>Sheet1!$A$4:$A$22</c:f>
              <c:strCache>
                <c:ptCount val="18"/>
                <c:pt idx="0">
                  <c:v>Admin</c:v>
                </c:pt>
                <c:pt idx="1">
                  <c:v>Admin Support</c:v>
                </c:pt>
                <c:pt idx="2">
                  <c:v>Banking</c:v>
                </c:pt>
                <c:pt idx="3">
                  <c:v>Customer Service</c:v>
                </c:pt>
                <c:pt idx="4">
                  <c:v>Education</c:v>
                </c:pt>
                <c:pt idx="5">
                  <c:v>Finance</c:v>
                </c:pt>
                <c:pt idx="6">
                  <c:v>Hospitality</c:v>
                </c:pt>
                <c:pt idx="7">
                  <c:v>IT Support</c:v>
                </c:pt>
                <c:pt idx="8">
                  <c:v>Logistics</c:v>
                </c:pt>
                <c:pt idx="9">
                  <c:v>Maintenance</c:v>
                </c:pt>
                <c:pt idx="10">
                  <c:v>Manufacturing</c:v>
                </c:pt>
                <c:pt idx="11">
                  <c:v>Media</c:v>
                </c:pt>
                <c:pt idx="12">
                  <c:v>Retail</c:v>
                </c:pt>
                <c:pt idx="13">
                  <c:v>Security</c:v>
                </c:pt>
                <c:pt idx="14">
                  <c:v>Support</c:v>
                </c:pt>
                <c:pt idx="15">
                  <c:v>Tech Support</c:v>
                </c:pt>
                <c:pt idx="16">
                  <c:v>Tourism</c:v>
                </c:pt>
                <c:pt idx="17">
                  <c:v>Transport</c:v>
                </c:pt>
              </c:strCache>
            </c:strRef>
          </c:cat>
          <c:val>
            <c:numRef>
              <c:f>Sheet1!$B$4:$B$22</c:f>
              <c:numCache>
                <c:formatCode>General</c:formatCode>
                <c:ptCount val="18"/>
                <c:pt idx="0">
                  <c:v>59.5</c:v>
                </c:pt>
                <c:pt idx="1">
                  <c:v>66.040000000000006</c:v>
                </c:pt>
                <c:pt idx="2">
                  <c:v>63.304347826086953</c:v>
                </c:pt>
                <c:pt idx="3">
                  <c:v>62.533333333333331</c:v>
                </c:pt>
                <c:pt idx="4">
                  <c:v>60.64</c:v>
                </c:pt>
                <c:pt idx="5">
                  <c:v>65.107142857142861</c:v>
                </c:pt>
                <c:pt idx="6">
                  <c:v>58.333333333333336</c:v>
                </c:pt>
                <c:pt idx="7">
                  <c:v>63.032258064516128</c:v>
                </c:pt>
                <c:pt idx="8">
                  <c:v>61.4</c:v>
                </c:pt>
                <c:pt idx="9">
                  <c:v>64.029411764705884</c:v>
                </c:pt>
                <c:pt idx="10">
                  <c:v>62.52</c:v>
                </c:pt>
                <c:pt idx="11">
                  <c:v>65.44</c:v>
                </c:pt>
                <c:pt idx="12">
                  <c:v>63.638888888888886</c:v>
                </c:pt>
                <c:pt idx="13">
                  <c:v>64.521739130434781</c:v>
                </c:pt>
                <c:pt idx="14">
                  <c:v>60.9</c:v>
                </c:pt>
                <c:pt idx="15">
                  <c:v>59.925925925925924</c:v>
                </c:pt>
                <c:pt idx="16">
                  <c:v>60.578947368421055</c:v>
                </c:pt>
                <c:pt idx="17">
                  <c:v>64.111111111111114</c:v>
                </c:pt>
              </c:numCache>
            </c:numRef>
          </c:val>
          <c:extLst>
            <c:ext xmlns:c16="http://schemas.microsoft.com/office/drawing/2014/chart" uri="{C3380CC4-5D6E-409C-BE32-E72D297353CC}">
              <c16:uniqueId val="{00000000-22D8-453E-AC64-159812F8194F}"/>
            </c:ext>
          </c:extLst>
        </c:ser>
        <c:dLbls>
          <c:showLegendKey val="0"/>
          <c:showVal val="0"/>
          <c:showCatName val="0"/>
          <c:showSerName val="0"/>
          <c:showPercent val="0"/>
          <c:showBubbleSize val="0"/>
        </c:dLbls>
        <c:gapWidth val="150"/>
        <c:shape val="box"/>
        <c:axId val="840463440"/>
        <c:axId val="840469680"/>
        <c:axId val="0"/>
      </c:bar3DChart>
      <c:catAx>
        <c:axId val="840463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469680"/>
        <c:crosses val="autoZero"/>
        <c:auto val="1"/>
        <c:lblAlgn val="ctr"/>
        <c:lblOffset val="100"/>
        <c:noMultiLvlLbl val="0"/>
      </c:catAx>
      <c:valAx>
        <c:axId val="84046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46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[AI_Automation_Job_Impact_500Rows (Recovered).xlsx]Sheet2!PivotTable2</c:name>
    <c:fmtId val="0"/>
  </c:pivotSource>
  <c:chart>
    <c:autoTitleDeleted val="1"/>
    <c:pivotFmts>
      <c:pivotFmt>
        <c:idx val="0"/>
        <c:spPr>
          <a:solidFill>
            <a:schemeClr val="accent1"/>
          </a:solidFill>
          <a:ln>
            <a:noFill/>
          </a:ln>
          <a:effectLst/>
          <a:sp3d/>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Sheet2!$A$4:$A$19</c:f>
              <c:strCache>
                <c:ptCount val="15"/>
                <c:pt idx="0">
                  <c:v>Ahmedabad</c:v>
                </c:pt>
                <c:pt idx="1">
                  <c:v>Bangalore</c:v>
                </c:pt>
                <c:pt idx="2">
                  <c:v>Bhubaneswar</c:v>
                </c:pt>
                <c:pt idx="3">
                  <c:v>Chennai</c:v>
                </c:pt>
                <c:pt idx="4">
                  <c:v>Delhi</c:v>
                </c:pt>
                <c:pt idx="5">
                  <c:v>Goa</c:v>
                </c:pt>
                <c:pt idx="6">
                  <c:v>Hyderabad</c:v>
                </c:pt>
                <c:pt idx="7">
                  <c:v>Indore</c:v>
                </c:pt>
                <c:pt idx="8">
                  <c:v>Jaipur</c:v>
                </c:pt>
                <c:pt idx="9">
                  <c:v>Kolkata</c:v>
                </c:pt>
                <c:pt idx="10">
                  <c:v>Lucknow</c:v>
                </c:pt>
                <c:pt idx="11">
                  <c:v>Mumbai</c:v>
                </c:pt>
                <c:pt idx="12">
                  <c:v>Nagpur</c:v>
                </c:pt>
                <c:pt idx="13">
                  <c:v>Patna</c:v>
                </c:pt>
                <c:pt idx="14">
                  <c:v>Pune</c:v>
                </c:pt>
              </c:strCache>
            </c:strRef>
          </c:cat>
          <c:val>
            <c:numRef>
              <c:f>Sheet2!$B$4:$B$19</c:f>
              <c:numCache>
                <c:formatCode>General</c:formatCode>
                <c:ptCount val="15"/>
                <c:pt idx="0">
                  <c:v>64.416666666666671</c:v>
                </c:pt>
                <c:pt idx="1">
                  <c:v>61.416666666666664</c:v>
                </c:pt>
                <c:pt idx="2">
                  <c:v>61.413793103448278</c:v>
                </c:pt>
                <c:pt idx="3">
                  <c:v>60.92307692307692</c:v>
                </c:pt>
                <c:pt idx="4">
                  <c:v>64.322580645161295</c:v>
                </c:pt>
                <c:pt idx="5">
                  <c:v>62.825000000000003</c:v>
                </c:pt>
                <c:pt idx="6">
                  <c:v>60.741935483870968</c:v>
                </c:pt>
                <c:pt idx="7">
                  <c:v>62.8</c:v>
                </c:pt>
                <c:pt idx="8">
                  <c:v>67.314285714285717</c:v>
                </c:pt>
                <c:pt idx="9">
                  <c:v>62.235294117647058</c:v>
                </c:pt>
                <c:pt idx="10">
                  <c:v>63.037037037037038</c:v>
                </c:pt>
                <c:pt idx="11">
                  <c:v>63.368421052631582</c:v>
                </c:pt>
                <c:pt idx="12">
                  <c:v>58.096774193548384</c:v>
                </c:pt>
                <c:pt idx="13">
                  <c:v>63</c:v>
                </c:pt>
                <c:pt idx="14">
                  <c:v>63.3</c:v>
                </c:pt>
              </c:numCache>
            </c:numRef>
          </c:val>
          <c:extLst>
            <c:ext xmlns:c16="http://schemas.microsoft.com/office/drawing/2014/chart" uri="{C3380CC4-5D6E-409C-BE32-E72D297353CC}">
              <c16:uniqueId val="{00000002-A9BC-467E-AF9D-3BE7C51BA2EF}"/>
            </c:ext>
          </c:extLst>
        </c:ser>
        <c:dLbls>
          <c:showLegendKey val="0"/>
          <c:showVal val="0"/>
          <c:showCatName val="0"/>
          <c:showSerName val="0"/>
          <c:showPercent val="0"/>
          <c:showBubbleSize val="0"/>
        </c:dLbls>
        <c:gapWidth val="150"/>
        <c:shape val="box"/>
        <c:axId val="970796576"/>
        <c:axId val="970798496"/>
        <c:axId val="0"/>
      </c:bar3DChart>
      <c:catAx>
        <c:axId val="9707965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98496"/>
        <c:crosses val="autoZero"/>
        <c:auto val="1"/>
        <c:lblAlgn val="ctr"/>
        <c:lblOffset val="100"/>
        <c:noMultiLvlLbl val="0"/>
      </c:catAx>
      <c:valAx>
        <c:axId val="97079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9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[AI_Automation_Job_Impact_500Rows (Recovered).xlsx]Sheet3!PivotTable3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Sum of Current_Employees</c:v>
                </c:pt>
              </c:strCache>
            </c:strRef>
          </c:tx>
          <c:spPr>
            <a:solidFill>
              <a:schemeClr val="accent1"/>
            </a:solidFill>
            <a:ln>
              <a:noFill/>
            </a:ln>
            <a:effectLst/>
          </c:spPr>
          <c:invertIfNegative val="0"/>
          <c:cat>
            <c:strRef>
              <c:f>Sheet3!$A$4:$A$22</c:f>
              <c:strCache>
                <c:ptCount val="18"/>
                <c:pt idx="0">
                  <c:v>Admin</c:v>
                </c:pt>
                <c:pt idx="1">
                  <c:v>Admin Support</c:v>
                </c:pt>
                <c:pt idx="2">
                  <c:v>Banking</c:v>
                </c:pt>
                <c:pt idx="3">
                  <c:v>Customer Service</c:v>
                </c:pt>
                <c:pt idx="4">
                  <c:v>Education</c:v>
                </c:pt>
                <c:pt idx="5">
                  <c:v>Finance</c:v>
                </c:pt>
                <c:pt idx="6">
                  <c:v>Hospitality</c:v>
                </c:pt>
                <c:pt idx="7">
                  <c:v>IT Support</c:v>
                </c:pt>
                <c:pt idx="8">
                  <c:v>Logistics</c:v>
                </c:pt>
                <c:pt idx="9">
                  <c:v>Maintenance</c:v>
                </c:pt>
                <c:pt idx="10">
                  <c:v>Manufacturing</c:v>
                </c:pt>
                <c:pt idx="11">
                  <c:v>Media</c:v>
                </c:pt>
                <c:pt idx="12">
                  <c:v>Retail</c:v>
                </c:pt>
                <c:pt idx="13">
                  <c:v>Security</c:v>
                </c:pt>
                <c:pt idx="14">
                  <c:v>Support</c:v>
                </c:pt>
                <c:pt idx="15">
                  <c:v>Tech Support</c:v>
                </c:pt>
                <c:pt idx="16">
                  <c:v>Tourism</c:v>
                </c:pt>
                <c:pt idx="17">
                  <c:v>Transport</c:v>
                </c:pt>
              </c:strCache>
            </c:strRef>
          </c:cat>
          <c:val>
            <c:numRef>
              <c:f>Sheet3!$B$4:$B$22</c:f>
              <c:numCache>
                <c:formatCode>General</c:formatCode>
                <c:ptCount val="18"/>
                <c:pt idx="0">
                  <c:v>65576</c:v>
                </c:pt>
                <c:pt idx="1">
                  <c:v>59640</c:v>
                </c:pt>
                <c:pt idx="2">
                  <c:v>64563</c:v>
                </c:pt>
                <c:pt idx="3">
                  <c:v>42665</c:v>
                </c:pt>
                <c:pt idx="4">
                  <c:v>60190</c:v>
                </c:pt>
                <c:pt idx="5">
                  <c:v>74577</c:v>
                </c:pt>
                <c:pt idx="6">
                  <c:v>54266</c:v>
                </c:pt>
                <c:pt idx="7">
                  <c:v>85248</c:v>
                </c:pt>
                <c:pt idx="8">
                  <c:v>124157</c:v>
                </c:pt>
                <c:pt idx="9">
                  <c:v>70337</c:v>
                </c:pt>
                <c:pt idx="10">
                  <c:v>68112</c:v>
                </c:pt>
                <c:pt idx="11">
                  <c:v>65609</c:v>
                </c:pt>
                <c:pt idx="12">
                  <c:v>93482</c:v>
                </c:pt>
                <c:pt idx="13">
                  <c:v>57890</c:v>
                </c:pt>
                <c:pt idx="14">
                  <c:v>50798</c:v>
                </c:pt>
                <c:pt idx="15">
                  <c:v>58264</c:v>
                </c:pt>
                <c:pt idx="16">
                  <c:v>50946</c:v>
                </c:pt>
                <c:pt idx="17">
                  <c:v>118657</c:v>
                </c:pt>
              </c:numCache>
            </c:numRef>
          </c:val>
          <c:extLst>
            <c:ext xmlns:c16="http://schemas.microsoft.com/office/drawing/2014/chart" uri="{C3380CC4-5D6E-409C-BE32-E72D297353CC}">
              <c16:uniqueId val="{00000000-8C35-4CCB-B755-37F28005995A}"/>
            </c:ext>
          </c:extLst>
        </c:ser>
        <c:dLbls>
          <c:showLegendKey val="0"/>
          <c:showVal val="0"/>
          <c:showCatName val="0"/>
          <c:showSerName val="0"/>
          <c:showPercent val="0"/>
          <c:showBubbleSize val="0"/>
        </c:dLbls>
        <c:gapWidth val="219"/>
        <c:overlap val="-27"/>
        <c:axId val="906449648"/>
        <c:axId val="906449168"/>
      </c:barChart>
      <c:lineChart>
        <c:grouping val="stacked"/>
        <c:varyColors val="0"/>
        <c:ser>
          <c:idx val="1"/>
          <c:order val="1"/>
          <c:tx>
            <c:strRef>
              <c:f>Sheet3!$C$3</c:f>
              <c:strCache>
                <c:ptCount val="1"/>
                <c:pt idx="0">
                  <c:v>Sum of Safe_Percent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Sheet3!$A$4:$A$22</c:f>
              <c:strCache>
                <c:ptCount val="18"/>
                <c:pt idx="0">
                  <c:v>Admin</c:v>
                </c:pt>
                <c:pt idx="1">
                  <c:v>Admin Support</c:v>
                </c:pt>
                <c:pt idx="2">
                  <c:v>Banking</c:v>
                </c:pt>
                <c:pt idx="3">
                  <c:v>Customer Service</c:v>
                </c:pt>
                <c:pt idx="4">
                  <c:v>Education</c:v>
                </c:pt>
                <c:pt idx="5">
                  <c:v>Finance</c:v>
                </c:pt>
                <c:pt idx="6">
                  <c:v>Hospitality</c:v>
                </c:pt>
                <c:pt idx="7">
                  <c:v>IT Support</c:v>
                </c:pt>
                <c:pt idx="8">
                  <c:v>Logistics</c:v>
                </c:pt>
                <c:pt idx="9">
                  <c:v>Maintenance</c:v>
                </c:pt>
                <c:pt idx="10">
                  <c:v>Manufacturing</c:v>
                </c:pt>
                <c:pt idx="11">
                  <c:v>Media</c:v>
                </c:pt>
                <c:pt idx="12">
                  <c:v>Retail</c:v>
                </c:pt>
                <c:pt idx="13">
                  <c:v>Security</c:v>
                </c:pt>
                <c:pt idx="14">
                  <c:v>Support</c:v>
                </c:pt>
                <c:pt idx="15">
                  <c:v>Tech Support</c:v>
                </c:pt>
                <c:pt idx="16">
                  <c:v>Tourism</c:v>
                </c:pt>
                <c:pt idx="17">
                  <c:v>Transport</c:v>
                </c:pt>
              </c:strCache>
            </c:strRef>
          </c:cat>
          <c:val>
            <c:numRef>
              <c:f>Sheet3!$C$4:$C$22</c:f>
              <c:numCache>
                <c:formatCode>General</c:formatCode>
                <c:ptCount val="18"/>
                <c:pt idx="0">
                  <c:v>1134</c:v>
                </c:pt>
                <c:pt idx="1">
                  <c:v>849</c:v>
                </c:pt>
                <c:pt idx="2">
                  <c:v>844</c:v>
                </c:pt>
                <c:pt idx="3">
                  <c:v>562</c:v>
                </c:pt>
                <c:pt idx="4">
                  <c:v>984</c:v>
                </c:pt>
                <c:pt idx="5">
                  <c:v>977</c:v>
                </c:pt>
                <c:pt idx="6">
                  <c:v>875</c:v>
                </c:pt>
                <c:pt idx="7">
                  <c:v>1146</c:v>
                </c:pt>
                <c:pt idx="8">
                  <c:v>1930</c:v>
                </c:pt>
                <c:pt idx="9">
                  <c:v>1223</c:v>
                </c:pt>
                <c:pt idx="10">
                  <c:v>937</c:v>
                </c:pt>
                <c:pt idx="11">
                  <c:v>864</c:v>
                </c:pt>
                <c:pt idx="12">
                  <c:v>1309</c:v>
                </c:pt>
                <c:pt idx="13">
                  <c:v>816</c:v>
                </c:pt>
                <c:pt idx="14">
                  <c:v>782</c:v>
                </c:pt>
                <c:pt idx="15">
                  <c:v>1082</c:v>
                </c:pt>
                <c:pt idx="16">
                  <c:v>749</c:v>
                </c:pt>
                <c:pt idx="17">
                  <c:v>1615</c:v>
                </c:pt>
              </c:numCache>
            </c:numRef>
          </c:val>
          <c:smooth val="0"/>
          <c:extLst>
            <c:ext xmlns:c16="http://schemas.microsoft.com/office/drawing/2014/chart" uri="{C3380CC4-5D6E-409C-BE32-E72D297353CC}">
              <c16:uniqueId val="{00000001-8C35-4CCB-B755-37F28005995A}"/>
            </c:ext>
          </c:extLst>
        </c:ser>
        <c:dLbls>
          <c:showLegendKey val="0"/>
          <c:showVal val="0"/>
          <c:showCatName val="0"/>
          <c:showSerName val="0"/>
          <c:showPercent val="0"/>
          <c:showBubbleSize val="0"/>
        </c:dLbls>
        <c:marker val="1"/>
        <c:smooth val="0"/>
        <c:axId val="917097072"/>
        <c:axId val="938553632"/>
      </c:lineChart>
      <c:catAx>
        <c:axId val="90644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49168"/>
        <c:crosses val="autoZero"/>
        <c:auto val="1"/>
        <c:lblAlgn val="ctr"/>
        <c:lblOffset val="100"/>
        <c:noMultiLvlLbl val="0"/>
      </c:catAx>
      <c:valAx>
        <c:axId val="90644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49648"/>
        <c:crosses val="autoZero"/>
        <c:crossBetween val="between"/>
      </c:valAx>
      <c:valAx>
        <c:axId val="93855363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097072"/>
        <c:crosses val="max"/>
        <c:crossBetween val="between"/>
      </c:valAx>
      <c:catAx>
        <c:axId val="917097072"/>
        <c:scaling>
          <c:orientation val="minMax"/>
        </c:scaling>
        <c:delete val="1"/>
        <c:axPos val="b"/>
        <c:numFmt formatCode="General" sourceLinked="1"/>
        <c:majorTickMark val="out"/>
        <c:minorTickMark val="none"/>
        <c:tickLblPos val="nextTo"/>
        <c:crossAx val="9385536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[AI_Automation_Job_Impact_500Rows (Recovered).xlsx]Sheet4!PivotTable6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Sheet4!$B$3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B3-4126-B95E-4BCB907E064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F1-4E8F-8383-0145410F254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F1-4E8F-8383-0145410F254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F1-4E8F-8383-0145410F254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FF1-4E8F-8383-0145410F254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F1-4E8F-8383-0145410F2540}"/>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Sheet4!$A$4:$A$10</c:f>
              <c:strCache>
                <c:ptCount val="6"/>
                <c:pt idx="0">
                  <c:v>2020</c:v>
                </c:pt>
                <c:pt idx="1">
                  <c:v>2021</c:v>
                </c:pt>
                <c:pt idx="2">
                  <c:v>2022</c:v>
                </c:pt>
                <c:pt idx="3">
                  <c:v>2023</c:v>
                </c:pt>
                <c:pt idx="4">
                  <c:v>2024</c:v>
                </c:pt>
                <c:pt idx="5">
                  <c:v>2025</c:v>
                </c:pt>
              </c:strCache>
            </c:strRef>
          </c:cat>
          <c:val>
            <c:numRef>
              <c:f>Sheet4!$B$4:$B$10</c:f>
              <c:numCache>
                <c:formatCode>General</c:formatCode>
                <c:ptCount val="6"/>
                <c:pt idx="0">
                  <c:v>61.414634146341463</c:v>
                </c:pt>
                <c:pt idx="1">
                  <c:v>63.922077922077925</c:v>
                </c:pt>
                <c:pt idx="2">
                  <c:v>63.357142857142854</c:v>
                </c:pt>
                <c:pt idx="3">
                  <c:v>62</c:v>
                </c:pt>
                <c:pt idx="4">
                  <c:v>62.941860465116278</c:v>
                </c:pt>
                <c:pt idx="5">
                  <c:v>62.516853932584269</c:v>
                </c:pt>
              </c:numCache>
            </c:numRef>
          </c:val>
          <c:extLst>
            <c:ext xmlns:c16="http://schemas.microsoft.com/office/drawing/2014/chart" uri="{C3380CC4-5D6E-409C-BE32-E72D297353CC}">
              <c16:uniqueId val="{00000000-E90C-493F-85F8-338B5D35E7BF}"/>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[AI_Automation_Job_Impact_500Rows (Recovered).xlsx]Sheet7!PivotTable13</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Sheet7!$B$3</c:f>
              <c:strCache>
                <c:ptCount val="1"/>
                <c:pt idx="0">
                  <c:v>Total</c:v>
                </c:pt>
              </c:strCache>
            </c:strRef>
          </c:tx>
          <c:spPr>
            <a:solidFill>
              <a:schemeClr val="accent1"/>
            </a:solidFill>
            <a:ln>
              <a:noFill/>
            </a:ln>
            <a:effectLst/>
            <a:sp3d/>
          </c:spPr>
          <c:invertIfNegative val="0"/>
          <c:cat>
            <c:strRef>
              <c:f>Sheet7!$A$4:$A$19</c:f>
              <c:strCache>
                <c:ptCount val="15"/>
                <c:pt idx="0">
                  <c:v>Ahmedabad</c:v>
                </c:pt>
                <c:pt idx="1">
                  <c:v>Bangalore</c:v>
                </c:pt>
                <c:pt idx="2">
                  <c:v>Bhubaneswar</c:v>
                </c:pt>
                <c:pt idx="3">
                  <c:v>Chennai</c:v>
                </c:pt>
                <c:pt idx="4">
                  <c:v>Delhi</c:v>
                </c:pt>
                <c:pt idx="5">
                  <c:v>Goa</c:v>
                </c:pt>
                <c:pt idx="6">
                  <c:v>Hyderabad</c:v>
                </c:pt>
                <c:pt idx="7">
                  <c:v>Indore</c:v>
                </c:pt>
                <c:pt idx="8">
                  <c:v>Jaipur</c:v>
                </c:pt>
                <c:pt idx="9">
                  <c:v>Kolkata</c:v>
                </c:pt>
                <c:pt idx="10">
                  <c:v>Lucknow</c:v>
                </c:pt>
                <c:pt idx="11">
                  <c:v>Mumbai</c:v>
                </c:pt>
                <c:pt idx="12">
                  <c:v>Nagpur</c:v>
                </c:pt>
                <c:pt idx="13">
                  <c:v>Patna</c:v>
                </c:pt>
                <c:pt idx="14">
                  <c:v>Pune</c:v>
                </c:pt>
              </c:strCache>
            </c:strRef>
          </c:cat>
          <c:val>
            <c:numRef>
              <c:f>Sheet7!$B$4:$B$19</c:f>
              <c:numCache>
                <c:formatCode>General</c:formatCode>
                <c:ptCount val="15"/>
                <c:pt idx="0">
                  <c:v>94472</c:v>
                </c:pt>
                <c:pt idx="1">
                  <c:v>89024</c:v>
                </c:pt>
                <c:pt idx="2">
                  <c:v>83134</c:v>
                </c:pt>
                <c:pt idx="3">
                  <c:v>96005</c:v>
                </c:pt>
                <c:pt idx="4">
                  <c:v>70141</c:v>
                </c:pt>
                <c:pt idx="5">
                  <c:v>108315</c:v>
                </c:pt>
                <c:pt idx="6">
                  <c:v>65200</c:v>
                </c:pt>
                <c:pt idx="7">
                  <c:v>78414</c:v>
                </c:pt>
                <c:pt idx="8">
                  <c:v>96105</c:v>
                </c:pt>
                <c:pt idx="9">
                  <c:v>93317</c:v>
                </c:pt>
                <c:pt idx="10">
                  <c:v>71692</c:v>
                </c:pt>
                <c:pt idx="11">
                  <c:v>95611</c:v>
                </c:pt>
                <c:pt idx="12">
                  <c:v>86256</c:v>
                </c:pt>
                <c:pt idx="13">
                  <c:v>70580</c:v>
                </c:pt>
                <c:pt idx="14">
                  <c:v>66711</c:v>
                </c:pt>
              </c:numCache>
            </c:numRef>
          </c:val>
          <c:extLst>
            <c:ext xmlns:c16="http://schemas.microsoft.com/office/drawing/2014/chart" uri="{C3380CC4-5D6E-409C-BE32-E72D297353CC}">
              <c16:uniqueId val="{00000000-3D72-4563-9330-0D06327A631D}"/>
            </c:ext>
          </c:extLst>
        </c:ser>
        <c:dLbls>
          <c:showLegendKey val="0"/>
          <c:showVal val="0"/>
          <c:showCatName val="0"/>
          <c:showSerName val="0"/>
          <c:showPercent val="0"/>
          <c:showBubbleSize val="0"/>
        </c:dLbls>
        <c:gapWidth val="150"/>
        <c:shape val="box"/>
        <c:axId val="1488596400"/>
        <c:axId val="1488594480"/>
        <c:axId val="0"/>
      </c:bar3DChart>
      <c:catAx>
        <c:axId val="1488596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94480"/>
        <c:crosses val="autoZero"/>
        <c:auto val="1"/>
        <c:lblAlgn val="ctr"/>
        <c:lblOffset val="100"/>
        <c:noMultiLvlLbl val="0"/>
      </c:catAx>
      <c:valAx>
        <c:axId val="1488594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9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[AI_Automation_Job_Impact_500Rows (Recovered).xlsx]Sheet8!PivotTable14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Sheet8!$B$3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Sheet8!$A$4:$A$9</c:f>
              <c:strCache>
                <c:ptCount val="5"/>
                <c:pt idx="0">
                  <c:v>Admin Support</c:v>
                </c:pt>
                <c:pt idx="1">
                  <c:v>Media</c:v>
                </c:pt>
                <c:pt idx="2">
                  <c:v>Finance</c:v>
                </c:pt>
                <c:pt idx="3">
                  <c:v>Security</c:v>
                </c:pt>
                <c:pt idx="4">
                  <c:v>Transport</c:v>
                </c:pt>
              </c:strCache>
            </c:strRef>
          </c:cat>
          <c:val>
            <c:numRef>
              <c:f>Sheet8!$B$4:$B$9</c:f>
              <c:numCache>
                <c:formatCode>General</c:formatCode>
                <c:ptCount val="5"/>
                <c:pt idx="0">
                  <c:v>66.040000000000006</c:v>
                </c:pt>
                <c:pt idx="1">
                  <c:v>65.44</c:v>
                </c:pt>
                <c:pt idx="2">
                  <c:v>65.107142857142861</c:v>
                </c:pt>
                <c:pt idx="3">
                  <c:v>64.521739130434781</c:v>
                </c:pt>
                <c:pt idx="4">
                  <c:v>64.111111111111114</c:v>
                </c:pt>
              </c:numCache>
            </c:numRef>
          </c:val>
          <c:smooth val="0"/>
          <c:extLst>
            <c:ext xmlns:c16="http://schemas.microsoft.com/office/drawing/2014/chart" uri="{C3380CC4-5D6E-409C-BE32-E72D297353CC}">
              <c16:uniqueId val="{00000000-7EC9-4113-8389-B033B394902C}"/>
            </c:ext>
          </c:extLst>
        </c:ser>
        <c:dLbls>
          <c:showLegendKey val="0"/>
          <c:showVal val="0"/>
          <c:showCatName val="0"/>
          <c:showSerName val="0"/>
          <c:showPercent val="0"/>
          <c:showBubbleSize val="0"/>
        </c:dLbls>
        <c:marker val="1"/>
        <c:smooth val="0"/>
        <c:axId val="1488593040"/>
        <c:axId val="1488614160"/>
      </c:lineChart>
      <c:catAx>
        <c:axId val="148859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614160"/>
        <c:crosses val="autoZero"/>
        <c:auto val="1"/>
        <c:lblAlgn val="ctr"/>
        <c:lblOffset val="100"/>
        <c:noMultiLvlLbl val="0"/>
      </c:catAx>
      <c:valAx>
        <c:axId val="1488614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930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[AI_Automation_Job_Impact_500Rows (Recovered).xlsx]Sheet1!PivotTable1</c:name>
    <c:fmtId val="2"/>
  </c:pivotSource>
  <c:chart>
    <c:autoTitleDeleted val="1"/>
    <c:pivotFmts>
      <c:pivotFmt>
        <c:idx val="0"/>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3"/>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365139308391916"/>
          <c:y val="4.4921223635941018E-2"/>
          <c:w val="0.6769702152516277"/>
          <c:h val="0.83829471152388557"/>
        </c:manualLayout>
      </c:layout>
      <c:bar3DChart>
        <c:barDir val="bar"/>
        <c:grouping val="stacked"/>
        <c:varyColors val="0"/>
        <c:ser>
          <c:idx val="0"/>
          <c:order val="0"/>
          <c:tx>
            <c:strRef>
              <c:f>Sheet1!$B$3</c:f>
              <c:strCache>
                <c:ptCount val="1"/>
                <c:pt idx="0">
                  <c:v>Total</c:v>
                </c:pt>
              </c:strCache>
            </c:strRef>
          </c:tx>
          <c:spPr>
            <a:solidFill>
              <a:schemeClr val="accent3"/>
            </a:solidFill>
            <a:ln>
              <a:noFill/>
            </a:ln>
            <a:effectLst/>
            <a:sp3d/>
          </c:spPr>
          <c:invertIfNegative val="0"/>
          <c:cat>
            <c:strRef>
              <c:f>Sheet1!$A$4:$A$22</c:f>
              <c:strCache>
                <c:ptCount val="18"/>
                <c:pt idx="0">
                  <c:v>Admin</c:v>
                </c:pt>
                <c:pt idx="1">
                  <c:v>Admin Support</c:v>
                </c:pt>
                <c:pt idx="2">
                  <c:v>Banking</c:v>
                </c:pt>
                <c:pt idx="3">
                  <c:v>Customer Service</c:v>
                </c:pt>
                <c:pt idx="4">
                  <c:v>Education</c:v>
                </c:pt>
                <c:pt idx="5">
                  <c:v>Finance</c:v>
                </c:pt>
                <c:pt idx="6">
                  <c:v>Hospitality</c:v>
                </c:pt>
                <c:pt idx="7">
                  <c:v>IT Support</c:v>
                </c:pt>
                <c:pt idx="8">
                  <c:v>Logistics</c:v>
                </c:pt>
                <c:pt idx="9">
                  <c:v>Maintenance</c:v>
                </c:pt>
                <c:pt idx="10">
                  <c:v>Manufacturing</c:v>
                </c:pt>
                <c:pt idx="11">
                  <c:v>Media</c:v>
                </c:pt>
                <c:pt idx="12">
                  <c:v>Retail</c:v>
                </c:pt>
                <c:pt idx="13">
                  <c:v>Security</c:v>
                </c:pt>
                <c:pt idx="14">
                  <c:v>Support</c:v>
                </c:pt>
                <c:pt idx="15">
                  <c:v>Tech Support</c:v>
                </c:pt>
                <c:pt idx="16">
                  <c:v>Tourism</c:v>
                </c:pt>
                <c:pt idx="17">
                  <c:v>Transport</c:v>
                </c:pt>
              </c:strCache>
            </c:strRef>
          </c:cat>
          <c:val>
            <c:numRef>
              <c:f>Sheet1!$B$4:$B$22</c:f>
              <c:numCache>
                <c:formatCode>General</c:formatCode>
                <c:ptCount val="18"/>
                <c:pt idx="0">
                  <c:v>59.5</c:v>
                </c:pt>
                <c:pt idx="1">
                  <c:v>66.040000000000006</c:v>
                </c:pt>
                <c:pt idx="2">
                  <c:v>63.304347826086953</c:v>
                </c:pt>
                <c:pt idx="3">
                  <c:v>62.533333333333331</c:v>
                </c:pt>
                <c:pt idx="4">
                  <c:v>60.64</c:v>
                </c:pt>
                <c:pt idx="5">
                  <c:v>65.107142857142861</c:v>
                </c:pt>
                <c:pt idx="6">
                  <c:v>58.333333333333336</c:v>
                </c:pt>
                <c:pt idx="7">
                  <c:v>63.032258064516128</c:v>
                </c:pt>
                <c:pt idx="8">
                  <c:v>61.4</c:v>
                </c:pt>
                <c:pt idx="9">
                  <c:v>64.029411764705884</c:v>
                </c:pt>
                <c:pt idx="10">
                  <c:v>62.52</c:v>
                </c:pt>
                <c:pt idx="11">
                  <c:v>65.44</c:v>
                </c:pt>
                <c:pt idx="12">
                  <c:v>63.638888888888886</c:v>
                </c:pt>
                <c:pt idx="13">
                  <c:v>64.521739130434781</c:v>
                </c:pt>
                <c:pt idx="14">
                  <c:v>60.9</c:v>
                </c:pt>
                <c:pt idx="15">
                  <c:v>59.925925925925924</c:v>
                </c:pt>
                <c:pt idx="16">
                  <c:v>60.578947368421055</c:v>
                </c:pt>
                <c:pt idx="17">
                  <c:v>64.111111111111114</c:v>
                </c:pt>
              </c:numCache>
            </c:numRef>
          </c:val>
          <c:extLst>
            <c:ext xmlns:c16="http://schemas.microsoft.com/office/drawing/2014/chart" uri="{C3380CC4-5D6E-409C-BE32-E72D297353CC}">
              <c16:uniqueId val="{00000000-5A40-40D6-BC3E-8D82B3969051}"/>
            </c:ext>
          </c:extLst>
        </c:ser>
        <c:dLbls>
          <c:showLegendKey val="0"/>
          <c:showVal val="0"/>
          <c:showCatName val="0"/>
          <c:showSerName val="0"/>
          <c:showPercent val="0"/>
          <c:showBubbleSize val="0"/>
        </c:dLbls>
        <c:gapWidth val="150"/>
        <c:shape val="box"/>
        <c:axId val="840463440"/>
        <c:axId val="840469680"/>
        <c:axId val="0"/>
      </c:bar3DChart>
      <c:catAx>
        <c:axId val="840463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469680"/>
        <c:crosses val="autoZero"/>
        <c:auto val="1"/>
        <c:lblAlgn val="ctr"/>
        <c:lblOffset val="100"/>
        <c:noMultiLvlLbl val="0"/>
      </c:catAx>
      <c:valAx>
        <c:axId val="840469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463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[AI_Automation_Job_Impact_500Rows (Recovered).xlsx]Sheet2!PivotTable2</c:name>
    <c:fmtId val="3"/>
  </c:pivotSource>
  <c:chart>
    <c:autoTitleDeleted val="1"/>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a:bevelT w="152400" h="25400" prst="softRound"/>
            <a:bevelB w="6985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2438681483053947E-2"/>
          <c:y val="5.0925925925925923E-2"/>
          <c:w val="0.92668455314409204"/>
          <c:h val="0.69285542432195979"/>
        </c:manualLayout>
      </c:layout>
      <c:bar3DChart>
        <c:barDir val="col"/>
        <c:grouping val="stacked"/>
        <c:varyColors val="0"/>
        <c:ser>
          <c:idx val="0"/>
          <c:order val="0"/>
          <c:tx>
            <c:strRef>
              <c:f>Sheet2!$B$3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a:bevelT w="152400" h="25400" prst="softRound"/>
              <a:bevelB w="69850"/>
            </a:sp3d>
          </c:spPr>
          <c:invertIfNegative val="0"/>
          <c:cat>
            <c:strRef>
              <c:f>Sheet2!$A$4:$A$19</c:f>
              <c:strCache>
                <c:ptCount val="15"/>
                <c:pt idx="0">
                  <c:v>Ahmedabad</c:v>
                </c:pt>
                <c:pt idx="1">
                  <c:v>Bangalore</c:v>
                </c:pt>
                <c:pt idx="2">
                  <c:v>Bhubaneswar</c:v>
                </c:pt>
                <c:pt idx="3">
                  <c:v>Chennai</c:v>
                </c:pt>
                <c:pt idx="4">
                  <c:v>Delhi</c:v>
                </c:pt>
                <c:pt idx="5">
                  <c:v>Goa</c:v>
                </c:pt>
                <c:pt idx="6">
                  <c:v>Hyderabad</c:v>
                </c:pt>
                <c:pt idx="7">
                  <c:v>Indore</c:v>
                </c:pt>
                <c:pt idx="8">
                  <c:v>Jaipur</c:v>
                </c:pt>
                <c:pt idx="9">
                  <c:v>Kolkata</c:v>
                </c:pt>
                <c:pt idx="10">
                  <c:v>Lucknow</c:v>
                </c:pt>
                <c:pt idx="11">
                  <c:v>Mumbai</c:v>
                </c:pt>
                <c:pt idx="12">
                  <c:v>Nagpur</c:v>
                </c:pt>
                <c:pt idx="13">
                  <c:v>Patna</c:v>
                </c:pt>
                <c:pt idx="14">
                  <c:v>Pune</c:v>
                </c:pt>
              </c:strCache>
            </c:strRef>
          </c:cat>
          <c:val>
            <c:numRef>
              <c:f>Sheet2!$B$4:$B$19</c:f>
              <c:numCache>
                <c:formatCode>General</c:formatCode>
                <c:ptCount val="15"/>
                <c:pt idx="0">
                  <c:v>64.416666666666671</c:v>
                </c:pt>
                <c:pt idx="1">
                  <c:v>61.416666666666664</c:v>
                </c:pt>
                <c:pt idx="2">
                  <c:v>61.413793103448278</c:v>
                </c:pt>
                <c:pt idx="3">
                  <c:v>60.92307692307692</c:v>
                </c:pt>
                <c:pt idx="4">
                  <c:v>64.322580645161295</c:v>
                </c:pt>
                <c:pt idx="5">
                  <c:v>62.825000000000003</c:v>
                </c:pt>
                <c:pt idx="6">
                  <c:v>60.741935483870968</c:v>
                </c:pt>
                <c:pt idx="7">
                  <c:v>62.8</c:v>
                </c:pt>
                <c:pt idx="8">
                  <c:v>67.314285714285717</c:v>
                </c:pt>
                <c:pt idx="9">
                  <c:v>62.235294117647058</c:v>
                </c:pt>
                <c:pt idx="10">
                  <c:v>63.037037037037038</c:v>
                </c:pt>
                <c:pt idx="11">
                  <c:v>63.368421052631582</c:v>
                </c:pt>
                <c:pt idx="12">
                  <c:v>58.096774193548384</c:v>
                </c:pt>
                <c:pt idx="13">
                  <c:v>63</c:v>
                </c:pt>
                <c:pt idx="14">
                  <c:v>63.3</c:v>
                </c:pt>
              </c:numCache>
            </c:numRef>
          </c:val>
          <c:extLst>
            <c:ext xmlns:c16="http://schemas.microsoft.com/office/drawing/2014/chart" uri="{C3380CC4-5D6E-409C-BE32-E72D297353CC}">
              <c16:uniqueId val="{00000000-9CD4-44BD-99F1-E11ED02C3690}"/>
            </c:ext>
          </c:extLst>
        </c:ser>
        <c:dLbls>
          <c:showLegendKey val="0"/>
          <c:showVal val="0"/>
          <c:showCatName val="0"/>
          <c:showSerName val="0"/>
          <c:showPercent val="0"/>
          <c:showBubbleSize val="0"/>
        </c:dLbls>
        <c:gapWidth val="150"/>
        <c:shape val="box"/>
        <c:axId val="970796576"/>
        <c:axId val="970798496"/>
        <c:axId val="0"/>
      </c:bar3DChart>
      <c:catAx>
        <c:axId val="9707965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98496"/>
        <c:crosses val="autoZero"/>
        <c:auto val="1"/>
        <c:lblAlgn val="ctr"/>
        <c:lblOffset val="100"/>
        <c:noMultiLvlLbl val="0"/>
      </c:catAx>
      <c:valAx>
        <c:axId val="97079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9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[AI_Automation_Job_Impact_500Rows (Recovered).xlsx]Sheet3!PivotTable3</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49095397080454"/>
          <c:y val="7.5454509446666929E-2"/>
          <c:w val="0.77275646857400904"/>
          <c:h val="0.47786420168732918"/>
        </c:manualLayout>
      </c:layout>
      <c:barChart>
        <c:barDir val="col"/>
        <c:grouping val="clustered"/>
        <c:varyColors val="0"/>
        <c:ser>
          <c:idx val="0"/>
          <c:order val="0"/>
          <c:tx>
            <c:strRef>
              <c:f>Sheet3!$B$3</c:f>
              <c:strCache>
                <c:ptCount val="1"/>
                <c:pt idx="0">
                  <c:v>Sum of Current_Employees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Sheet3!$A$4:$A$22</c:f>
              <c:strCache>
                <c:ptCount val="18"/>
                <c:pt idx="0">
                  <c:v>Admin</c:v>
                </c:pt>
                <c:pt idx="1">
                  <c:v>Admin Support</c:v>
                </c:pt>
                <c:pt idx="2">
                  <c:v>Banking</c:v>
                </c:pt>
                <c:pt idx="3">
                  <c:v>Customer Service</c:v>
                </c:pt>
                <c:pt idx="4">
                  <c:v>Education</c:v>
                </c:pt>
                <c:pt idx="5">
                  <c:v>Finance</c:v>
                </c:pt>
                <c:pt idx="6">
                  <c:v>Hospitality</c:v>
                </c:pt>
                <c:pt idx="7">
                  <c:v>IT Support</c:v>
                </c:pt>
                <c:pt idx="8">
                  <c:v>Logistics</c:v>
                </c:pt>
                <c:pt idx="9">
                  <c:v>Maintenance</c:v>
                </c:pt>
                <c:pt idx="10">
                  <c:v>Manufacturing</c:v>
                </c:pt>
                <c:pt idx="11">
                  <c:v>Media</c:v>
                </c:pt>
                <c:pt idx="12">
                  <c:v>Retail</c:v>
                </c:pt>
                <c:pt idx="13">
                  <c:v>Security</c:v>
                </c:pt>
                <c:pt idx="14">
                  <c:v>Support</c:v>
                </c:pt>
                <c:pt idx="15">
                  <c:v>Tech Support</c:v>
                </c:pt>
                <c:pt idx="16">
                  <c:v>Tourism</c:v>
                </c:pt>
                <c:pt idx="17">
                  <c:v>Transport</c:v>
                </c:pt>
              </c:strCache>
            </c:strRef>
          </c:cat>
          <c:val>
            <c:numRef>
              <c:f>Sheet3!$B$4:$B$22</c:f>
              <c:numCache>
                <c:formatCode>General</c:formatCode>
                <c:ptCount val="18"/>
                <c:pt idx="0">
                  <c:v>65576</c:v>
                </c:pt>
                <c:pt idx="1">
                  <c:v>59640</c:v>
                </c:pt>
                <c:pt idx="2">
                  <c:v>64563</c:v>
                </c:pt>
                <c:pt idx="3">
                  <c:v>42665</c:v>
                </c:pt>
                <c:pt idx="4">
                  <c:v>60190</c:v>
                </c:pt>
                <c:pt idx="5">
                  <c:v>74577</c:v>
                </c:pt>
                <c:pt idx="6">
                  <c:v>54266</c:v>
                </c:pt>
                <c:pt idx="7">
                  <c:v>85248</c:v>
                </c:pt>
                <c:pt idx="8">
                  <c:v>124157</c:v>
                </c:pt>
                <c:pt idx="9">
                  <c:v>70337</c:v>
                </c:pt>
                <c:pt idx="10">
                  <c:v>68112</c:v>
                </c:pt>
                <c:pt idx="11">
                  <c:v>65609</c:v>
                </c:pt>
                <c:pt idx="12">
                  <c:v>93482</c:v>
                </c:pt>
                <c:pt idx="13">
                  <c:v>57890</c:v>
                </c:pt>
                <c:pt idx="14">
                  <c:v>50798</c:v>
                </c:pt>
                <c:pt idx="15">
                  <c:v>58264</c:v>
                </c:pt>
                <c:pt idx="16">
                  <c:v>50946</c:v>
                </c:pt>
                <c:pt idx="17">
                  <c:v>118657</c:v>
                </c:pt>
              </c:numCache>
            </c:numRef>
          </c:val>
          <c:extLst>
            <c:ext xmlns:c16="http://schemas.microsoft.com/office/drawing/2014/chart" uri="{C3380CC4-5D6E-409C-BE32-E72D297353CC}">
              <c16:uniqueId val="{00000000-17E5-4FC5-821C-7F98A8C6D411}"/>
            </c:ext>
          </c:extLst>
        </c:ser>
        <c:dLbls>
          <c:showLegendKey val="0"/>
          <c:showVal val="0"/>
          <c:showCatName val="0"/>
          <c:showSerName val="0"/>
          <c:showPercent val="0"/>
          <c:showBubbleSize val="0"/>
        </c:dLbls>
        <c:gapWidth val="219"/>
        <c:overlap val="-27"/>
        <c:axId val="906449648"/>
        <c:axId val="906449168"/>
      </c:barChart>
      <c:lineChart>
        <c:grouping val="stacked"/>
        <c:varyColors val="0"/>
        <c:ser>
          <c:idx val="1"/>
          <c:order val="1"/>
          <c:tx>
            <c:strRef>
              <c:f>Sheet3!$C$3</c:f>
              <c:strCache>
                <c:ptCount val="1"/>
                <c:pt idx="0">
                  <c:v>Sum of Safe_Percent</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Sheet3!$A$4:$A$22</c:f>
              <c:strCache>
                <c:ptCount val="18"/>
                <c:pt idx="0">
                  <c:v>Admin</c:v>
                </c:pt>
                <c:pt idx="1">
                  <c:v>Admin Support</c:v>
                </c:pt>
                <c:pt idx="2">
                  <c:v>Banking</c:v>
                </c:pt>
                <c:pt idx="3">
                  <c:v>Customer Service</c:v>
                </c:pt>
                <c:pt idx="4">
                  <c:v>Education</c:v>
                </c:pt>
                <c:pt idx="5">
                  <c:v>Finance</c:v>
                </c:pt>
                <c:pt idx="6">
                  <c:v>Hospitality</c:v>
                </c:pt>
                <c:pt idx="7">
                  <c:v>IT Support</c:v>
                </c:pt>
                <c:pt idx="8">
                  <c:v>Logistics</c:v>
                </c:pt>
                <c:pt idx="9">
                  <c:v>Maintenance</c:v>
                </c:pt>
                <c:pt idx="10">
                  <c:v>Manufacturing</c:v>
                </c:pt>
                <c:pt idx="11">
                  <c:v>Media</c:v>
                </c:pt>
                <c:pt idx="12">
                  <c:v>Retail</c:v>
                </c:pt>
                <c:pt idx="13">
                  <c:v>Security</c:v>
                </c:pt>
                <c:pt idx="14">
                  <c:v>Support</c:v>
                </c:pt>
                <c:pt idx="15">
                  <c:v>Tech Support</c:v>
                </c:pt>
                <c:pt idx="16">
                  <c:v>Tourism</c:v>
                </c:pt>
                <c:pt idx="17">
                  <c:v>Transport</c:v>
                </c:pt>
              </c:strCache>
            </c:strRef>
          </c:cat>
          <c:val>
            <c:numRef>
              <c:f>Sheet3!$C$4:$C$22</c:f>
              <c:numCache>
                <c:formatCode>General</c:formatCode>
                <c:ptCount val="18"/>
                <c:pt idx="0">
                  <c:v>1134</c:v>
                </c:pt>
                <c:pt idx="1">
                  <c:v>849</c:v>
                </c:pt>
                <c:pt idx="2">
                  <c:v>844</c:v>
                </c:pt>
                <c:pt idx="3">
                  <c:v>562</c:v>
                </c:pt>
                <c:pt idx="4">
                  <c:v>984</c:v>
                </c:pt>
                <c:pt idx="5">
                  <c:v>977</c:v>
                </c:pt>
                <c:pt idx="6">
                  <c:v>875</c:v>
                </c:pt>
                <c:pt idx="7">
                  <c:v>1146</c:v>
                </c:pt>
                <c:pt idx="8">
                  <c:v>1930</c:v>
                </c:pt>
                <c:pt idx="9">
                  <c:v>1223</c:v>
                </c:pt>
                <c:pt idx="10">
                  <c:v>937</c:v>
                </c:pt>
                <c:pt idx="11">
                  <c:v>864</c:v>
                </c:pt>
                <c:pt idx="12">
                  <c:v>1309</c:v>
                </c:pt>
                <c:pt idx="13">
                  <c:v>816</c:v>
                </c:pt>
                <c:pt idx="14">
                  <c:v>782</c:v>
                </c:pt>
                <c:pt idx="15">
                  <c:v>1082</c:v>
                </c:pt>
                <c:pt idx="16">
                  <c:v>749</c:v>
                </c:pt>
                <c:pt idx="17">
                  <c:v>1615</c:v>
                </c:pt>
              </c:numCache>
            </c:numRef>
          </c:val>
          <c:smooth val="0"/>
          <c:extLst>
            <c:ext xmlns:c16="http://schemas.microsoft.com/office/drawing/2014/chart" uri="{C3380CC4-5D6E-409C-BE32-E72D297353CC}">
              <c16:uniqueId val="{00000001-17E5-4FC5-821C-7F98A8C6D411}"/>
            </c:ext>
          </c:extLst>
        </c:ser>
        <c:dLbls>
          <c:showLegendKey val="0"/>
          <c:showVal val="0"/>
          <c:showCatName val="0"/>
          <c:showSerName val="0"/>
          <c:showPercent val="0"/>
          <c:showBubbleSize val="0"/>
        </c:dLbls>
        <c:marker val="1"/>
        <c:smooth val="0"/>
        <c:axId val="917097072"/>
        <c:axId val="938553632"/>
      </c:lineChart>
      <c:catAx>
        <c:axId val="906449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906449168"/>
        <c:crosses val="autoZero"/>
        <c:auto val="1"/>
        <c:lblAlgn val="ctr"/>
        <c:lblOffset val="100"/>
        <c:noMultiLvlLbl val="0"/>
      </c:catAx>
      <c:valAx>
        <c:axId val="906449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906449648"/>
        <c:crosses val="autoZero"/>
        <c:crossBetween val="between"/>
      </c:valAx>
      <c:valAx>
        <c:axId val="93855363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917097072"/>
        <c:crosses val="max"/>
        <c:crossBetween val="between"/>
      </c:valAx>
      <c:catAx>
        <c:axId val="917097072"/>
        <c:scaling>
          <c:orientation val="minMax"/>
        </c:scaling>
        <c:delete val="1"/>
        <c:axPos val="b"/>
        <c:numFmt formatCode="General" sourceLinked="1"/>
        <c:majorTickMark val="none"/>
        <c:minorTickMark val="none"/>
        <c:tickLblPos val="nextTo"/>
        <c:crossAx val="93855363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[AI_Automation_Job_Impact_500Rows (Recovered).xlsx]Sheet4!PivotTable6</c:name>
    <c:fmtId val="11"/>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505259947506762"/>
          <c:y val="3.9622856478940031E-2"/>
          <c:w val="0.57380426459842182"/>
          <c:h val="0.96037714352105996"/>
        </c:manualLayout>
      </c:layout>
      <c:doughnutChart>
        <c:varyColors val="1"/>
        <c:ser>
          <c:idx val="0"/>
          <c:order val="0"/>
          <c:tx>
            <c:strRef>
              <c:f>Sheet4!$B$3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3F3-4963-B4CB-1FB06B31610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3F3-4963-B4CB-1FB06B31610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3F3-4963-B4CB-1FB06B31610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3F3-4963-B4CB-1FB06B316106}"/>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3F3-4963-B4CB-1FB06B316106}"/>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E3F3-4963-B4CB-1FB06B31610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Sheet4!$A$4:$A$10</c:f>
              <c:strCache>
                <c:ptCount val="6"/>
                <c:pt idx="0">
                  <c:v>2020</c:v>
                </c:pt>
                <c:pt idx="1">
                  <c:v>2021</c:v>
                </c:pt>
                <c:pt idx="2">
                  <c:v>2022</c:v>
                </c:pt>
                <c:pt idx="3">
                  <c:v>2023</c:v>
                </c:pt>
                <c:pt idx="4">
                  <c:v>2024</c:v>
                </c:pt>
                <c:pt idx="5">
                  <c:v>2025</c:v>
                </c:pt>
              </c:strCache>
            </c:strRef>
          </c:cat>
          <c:val>
            <c:numRef>
              <c:f>Sheet4!$B$4:$B$10</c:f>
              <c:numCache>
                <c:formatCode>General</c:formatCode>
                <c:ptCount val="6"/>
                <c:pt idx="0">
                  <c:v>61.414634146341463</c:v>
                </c:pt>
                <c:pt idx="1">
                  <c:v>63.922077922077925</c:v>
                </c:pt>
                <c:pt idx="2">
                  <c:v>63.357142857142854</c:v>
                </c:pt>
                <c:pt idx="3">
                  <c:v>62</c:v>
                </c:pt>
                <c:pt idx="4">
                  <c:v>62.941860465116278</c:v>
                </c:pt>
                <c:pt idx="5">
                  <c:v>62.516853932584269</c:v>
                </c:pt>
              </c:numCache>
            </c:numRef>
          </c:val>
          <c:extLst>
            <c:ext xmlns:c16="http://schemas.microsoft.com/office/drawing/2014/chart" uri="{C3380CC4-5D6E-409C-BE32-E72D297353CC}">
              <c16:uniqueId val="{0000000C-E3F3-4963-B4CB-1FB06B316106}"/>
            </c:ext>
          </c:extLst>
        </c:ser>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[AI_Automation_Job_Impact_500Rows (Recovered).xlsx]Sheet7!PivotTable13</c:name>
    <c:fmtId val="3"/>
  </c:pivotSource>
  <c:chart>
    <c:autoTitleDeleted val="1"/>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115997152691326"/>
          <c:y val="1.2655964865530374E-2"/>
          <c:w val="0.71905330758250574"/>
          <c:h val="0.85741238588999336"/>
        </c:manualLayout>
      </c:layout>
      <c:bar3DChart>
        <c:barDir val="bar"/>
        <c:grouping val="stacked"/>
        <c:varyColors val="0"/>
        <c:ser>
          <c:idx val="0"/>
          <c:order val="0"/>
          <c:tx>
            <c:strRef>
              <c:f>Sheet7!$B$3</c:f>
              <c:strCache>
                <c:ptCount val="1"/>
                <c:pt idx="0">
                  <c:v>Total</c:v>
                </c:pt>
              </c:strCache>
            </c:strRef>
          </c:tx>
          <c:spPr>
            <a:solidFill>
              <a:schemeClr val="accent1"/>
            </a:solidFill>
            <a:ln>
              <a:noFill/>
            </a:ln>
            <a:effectLst/>
            <a:sp3d/>
          </c:spPr>
          <c:invertIfNegative val="0"/>
          <c:cat>
            <c:strRef>
              <c:f>Sheet7!$A$4:$A$19</c:f>
              <c:strCache>
                <c:ptCount val="15"/>
                <c:pt idx="0">
                  <c:v>Ahmedabad</c:v>
                </c:pt>
                <c:pt idx="1">
                  <c:v>Bangalore</c:v>
                </c:pt>
                <c:pt idx="2">
                  <c:v>Bhubaneswar</c:v>
                </c:pt>
                <c:pt idx="3">
                  <c:v>Chennai</c:v>
                </c:pt>
                <c:pt idx="4">
                  <c:v>Delhi</c:v>
                </c:pt>
                <c:pt idx="5">
                  <c:v>Goa</c:v>
                </c:pt>
                <c:pt idx="6">
                  <c:v>Hyderabad</c:v>
                </c:pt>
                <c:pt idx="7">
                  <c:v>Indore</c:v>
                </c:pt>
                <c:pt idx="8">
                  <c:v>Jaipur</c:v>
                </c:pt>
                <c:pt idx="9">
                  <c:v>Kolkata</c:v>
                </c:pt>
                <c:pt idx="10">
                  <c:v>Lucknow</c:v>
                </c:pt>
                <c:pt idx="11">
                  <c:v>Mumbai</c:v>
                </c:pt>
                <c:pt idx="12">
                  <c:v>Nagpur</c:v>
                </c:pt>
                <c:pt idx="13">
                  <c:v>Patna</c:v>
                </c:pt>
                <c:pt idx="14">
                  <c:v>Pune</c:v>
                </c:pt>
              </c:strCache>
            </c:strRef>
          </c:cat>
          <c:val>
            <c:numRef>
              <c:f>Sheet7!$B$4:$B$19</c:f>
              <c:numCache>
                <c:formatCode>General</c:formatCode>
                <c:ptCount val="15"/>
                <c:pt idx="0">
                  <c:v>94472</c:v>
                </c:pt>
                <c:pt idx="1">
                  <c:v>89024</c:v>
                </c:pt>
                <c:pt idx="2">
                  <c:v>83134</c:v>
                </c:pt>
                <c:pt idx="3">
                  <c:v>96005</c:v>
                </c:pt>
                <c:pt idx="4">
                  <c:v>70141</c:v>
                </c:pt>
                <c:pt idx="5">
                  <c:v>108315</c:v>
                </c:pt>
                <c:pt idx="6">
                  <c:v>65200</c:v>
                </c:pt>
                <c:pt idx="7">
                  <c:v>78414</c:v>
                </c:pt>
                <c:pt idx="8">
                  <c:v>96105</c:v>
                </c:pt>
                <c:pt idx="9">
                  <c:v>93317</c:v>
                </c:pt>
                <c:pt idx="10">
                  <c:v>71692</c:v>
                </c:pt>
                <c:pt idx="11">
                  <c:v>95611</c:v>
                </c:pt>
                <c:pt idx="12">
                  <c:v>86256</c:v>
                </c:pt>
                <c:pt idx="13">
                  <c:v>70580</c:v>
                </c:pt>
                <c:pt idx="14">
                  <c:v>66711</c:v>
                </c:pt>
              </c:numCache>
            </c:numRef>
          </c:val>
          <c:extLst>
            <c:ext xmlns:c16="http://schemas.microsoft.com/office/drawing/2014/chart" uri="{C3380CC4-5D6E-409C-BE32-E72D297353CC}">
              <c16:uniqueId val="{00000000-9936-47BD-B738-00A12B03D4C6}"/>
            </c:ext>
          </c:extLst>
        </c:ser>
        <c:dLbls>
          <c:showLegendKey val="0"/>
          <c:showVal val="0"/>
          <c:showCatName val="0"/>
          <c:showSerName val="0"/>
          <c:showPercent val="0"/>
          <c:showBubbleSize val="0"/>
        </c:dLbls>
        <c:gapWidth val="150"/>
        <c:shape val="box"/>
        <c:axId val="1488596400"/>
        <c:axId val="1488594480"/>
        <c:axId val="0"/>
      </c:bar3DChart>
      <c:catAx>
        <c:axId val="1488596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94480"/>
        <c:crosses val="autoZero"/>
        <c:auto val="1"/>
        <c:lblAlgn val="ctr"/>
        <c:lblOffset val="100"/>
        <c:noMultiLvlLbl val="0"/>
      </c:catAx>
      <c:valAx>
        <c:axId val="14885944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96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[AI_Automation_Job_Impact_500Rows (Recovered).xlsx]Sheet8!PivotTable14</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1442913867279"/>
          <c:y val="5.2698431726023481E-2"/>
          <c:w val="0.88129088821737733"/>
          <c:h val="0.72896888659784076"/>
        </c:manualLayout>
      </c:layout>
      <c:lineChart>
        <c:grouping val="stacked"/>
        <c:varyColors val="0"/>
        <c:ser>
          <c:idx val="0"/>
          <c:order val="0"/>
          <c:tx>
            <c:strRef>
              <c:f>Sheet8!$B$3</c:f>
              <c:strCache>
                <c:ptCount val="1"/>
                <c:pt idx="0">
                  <c:v>Total</c:v>
                </c:pt>
              </c:strCache>
            </c:strRef>
          </c:tx>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Sheet8!$A$4:$A$9</c:f>
              <c:strCache>
                <c:ptCount val="5"/>
                <c:pt idx="0">
                  <c:v>Admin Support</c:v>
                </c:pt>
                <c:pt idx="1">
                  <c:v>Media</c:v>
                </c:pt>
                <c:pt idx="2">
                  <c:v>Finance</c:v>
                </c:pt>
                <c:pt idx="3">
                  <c:v>Security</c:v>
                </c:pt>
                <c:pt idx="4">
                  <c:v>Transport</c:v>
                </c:pt>
              </c:strCache>
            </c:strRef>
          </c:cat>
          <c:val>
            <c:numRef>
              <c:f>Sheet8!$B$4:$B$9</c:f>
              <c:numCache>
                <c:formatCode>General</c:formatCode>
                <c:ptCount val="5"/>
                <c:pt idx="0">
                  <c:v>66.040000000000006</c:v>
                </c:pt>
                <c:pt idx="1">
                  <c:v>65.44</c:v>
                </c:pt>
                <c:pt idx="2">
                  <c:v>65.107142857142861</c:v>
                </c:pt>
                <c:pt idx="3">
                  <c:v>64.521739130434781</c:v>
                </c:pt>
                <c:pt idx="4">
                  <c:v>64.111111111111114</c:v>
                </c:pt>
              </c:numCache>
            </c:numRef>
          </c:val>
          <c:smooth val="0"/>
          <c:extLst>
            <c:ext xmlns:c16="http://schemas.microsoft.com/office/drawing/2014/chart" uri="{C3380CC4-5D6E-409C-BE32-E72D297353CC}">
              <c16:uniqueId val="{00000000-68BB-4245-B55C-EE2DF1110031}"/>
            </c:ext>
          </c:extLst>
        </c:ser>
        <c:dLbls>
          <c:showLegendKey val="0"/>
          <c:showVal val="0"/>
          <c:showCatName val="0"/>
          <c:showSerName val="0"/>
          <c:showPercent val="0"/>
          <c:showBubbleSize val="0"/>
        </c:dLbls>
        <c:marker val="1"/>
        <c:smooth val="0"/>
        <c:axId val="1488593040"/>
        <c:axId val="1488614160"/>
      </c:lineChart>
      <c:catAx>
        <c:axId val="14885930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614160"/>
        <c:crosses val="autoZero"/>
        <c:auto val="1"/>
        <c:lblAlgn val="ctr"/>
        <c:lblOffset val="100"/>
        <c:noMultiLvlLbl val="0"/>
      </c:catAx>
      <c:valAx>
        <c:axId val="1488614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59304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image" Target="../media/image1.jp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621505</xdr:colOff>
      <xdr:row>5</xdr:row>
      <xdr:rowOff>28575</xdr:rowOff>
    </xdr:from>
    <xdr:to>
      <xdr:col>11</xdr:col>
      <xdr:colOff>11905</xdr:colOff>
      <xdr:row>20</xdr:row>
      <xdr:rowOff>57150</xdr:rowOff>
    </xdr:to>
    <xdr:graphicFrame macro="">
      <xdr:nvGraphicFramePr>
        <xdr:cNvPr id="2" name="Chart 1">
          <a:extLst>
            <a:ext uri="{FF2B5EF4-FFF2-40B4-BE49-F238E27FC236}">
              <a16:creationId xmlns:a16="http://schemas.microsoft.com/office/drawing/2014/main" id="{1E11F016-7316-A398-4CB3-F84028DB06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373855</xdr:colOff>
      <xdr:row>7</xdr:row>
      <xdr:rowOff>47625</xdr:rowOff>
    </xdr:from>
    <xdr:to>
      <xdr:col>9</xdr:col>
      <xdr:colOff>411955</xdr:colOff>
      <xdr:row>22</xdr:row>
      <xdr:rowOff>76200</xdr:rowOff>
    </xdr:to>
    <xdr:graphicFrame macro="">
      <xdr:nvGraphicFramePr>
        <xdr:cNvPr id="2" name="Chart 1">
          <a:extLst>
            <a:ext uri="{FF2B5EF4-FFF2-40B4-BE49-F238E27FC236}">
              <a16:creationId xmlns:a16="http://schemas.microsoft.com/office/drawing/2014/main" id="{666F94B5-2EEC-4D65-3C57-8550C5BA9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654843</xdr:colOff>
      <xdr:row>7</xdr:row>
      <xdr:rowOff>95250</xdr:rowOff>
    </xdr:from>
    <xdr:to>
      <xdr:col>10</xdr:col>
      <xdr:colOff>78580</xdr:colOff>
      <xdr:row>22</xdr:row>
      <xdr:rowOff>123825</xdr:rowOff>
    </xdr:to>
    <xdr:graphicFrame macro="">
      <xdr:nvGraphicFramePr>
        <xdr:cNvPr id="4" name="Chart 3">
          <a:extLst>
            <a:ext uri="{FF2B5EF4-FFF2-40B4-BE49-F238E27FC236}">
              <a16:creationId xmlns:a16="http://schemas.microsoft.com/office/drawing/2014/main" id="{AB85A285-0D99-676C-033A-46B10AB23E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576263</xdr:colOff>
      <xdr:row>5</xdr:row>
      <xdr:rowOff>33338</xdr:rowOff>
    </xdr:from>
    <xdr:to>
      <xdr:col>12</xdr:col>
      <xdr:colOff>461963</xdr:colOff>
      <xdr:row>19</xdr:row>
      <xdr:rowOff>23813</xdr:rowOff>
    </xdr:to>
    <mc:AlternateContent xmlns:mc="http://schemas.openxmlformats.org/markup-compatibility/2006" xmlns:a14="http://schemas.microsoft.com/office/drawing/2010/main">
      <mc:Choice Requires="a14">
        <xdr:graphicFrame macro="">
          <xdr:nvGraphicFramePr>
            <xdr:cNvPr id="4" name="Industry">
              <a:extLst>
                <a:ext uri="{FF2B5EF4-FFF2-40B4-BE49-F238E27FC236}">
                  <a16:creationId xmlns:a16="http://schemas.microsoft.com/office/drawing/2014/main" id="{58E8C8B4-884D-26C7-C030-7803045A35D0}"/>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8077201" y="93821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528637</xdr:colOff>
      <xdr:row>5</xdr:row>
      <xdr:rowOff>161925</xdr:rowOff>
    </xdr:from>
    <xdr:to>
      <xdr:col>15</xdr:col>
      <xdr:colOff>414337</xdr:colOff>
      <xdr:row>19</xdr:row>
      <xdr:rowOff>152400</xdr:rowOff>
    </xdr:to>
    <mc:AlternateContent xmlns:mc="http://schemas.openxmlformats.org/markup-compatibility/2006" xmlns:a14="http://schemas.microsoft.com/office/drawing/2010/main">
      <mc:Choice Requires="a14">
        <xdr:graphicFrame macro="">
          <xdr:nvGraphicFramePr>
            <xdr:cNvPr id="6" name="Estimated_Impact_Year">
              <a:extLst>
                <a:ext uri="{FF2B5EF4-FFF2-40B4-BE49-F238E27FC236}">
                  <a16:creationId xmlns:a16="http://schemas.microsoft.com/office/drawing/2014/main" id="{444520A6-CEDD-771F-8508-132D2CAF6491}"/>
                </a:ext>
              </a:extLst>
            </xdr:cNvPr>
            <xdr:cNvGraphicFramePr/>
          </xdr:nvGraphicFramePr>
          <xdr:xfrm>
            <a:off x="0" y="0"/>
            <a:ext cx="0" cy="0"/>
          </xdr:xfrm>
          <a:graphic>
            <a:graphicData uri="http://schemas.microsoft.com/office/drawing/2010/slicer">
              <sle:slicer xmlns:sle="http://schemas.microsoft.com/office/drawing/2010/slicer" name="Estimated_Impact_Year"/>
            </a:graphicData>
          </a:graphic>
        </xdr:graphicFrame>
      </mc:Choice>
      <mc:Fallback xmlns="">
        <xdr:sp macro="" textlink="">
          <xdr:nvSpPr>
            <xdr:cNvPr id="0" name=""/>
            <xdr:cNvSpPr>
              <a:spLocks noTextEdit="1"/>
            </xdr:cNvSpPr>
          </xdr:nvSpPr>
          <xdr:spPr>
            <a:xfrm>
              <a:off x="9972675" y="1066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471486</xdr:colOff>
      <xdr:row>5</xdr:row>
      <xdr:rowOff>114300</xdr:rowOff>
    </xdr:from>
    <xdr:to>
      <xdr:col>18</xdr:col>
      <xdr:colOff>357186</xdr:colOff>
      <xdr:row>19</xdr:row>
      <xdr:rowOff>104775</xdr:rowOff>
    </xdr:to>
    <mc:AlternateContent xmlns:mc="http://schemas.openxmlformats.org/markup-compatibility/2006" xmlns:a14="http://schemas.microsoft.com/office/drawing/2010/main">
      <mc:Choice Requires="a14">
        <xdr:graphicFrame macro="">
          <xdr:nvGraphicFramePr>
            <xdr:cNvPr id="7" name="Location">
              <a:extLst>
                <a:ext uri="{FF2B5EF4-FFF2-40B4-BE49-F238E27FC236}">
                  <a16:creationId xmlns:a16="http://schemas.microsoft.com/office/drawing/2014/main" id="{E28182B2-E479-F159-2CB9-F0BEE632A51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858624" y="1019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721518</xdr:colOff>
      <xdr:row>6</xdr:row>
      <xdr:rowOff>123825</xdr:rowOff>
    </xdr:from>
    <xdr:to>
      <xdr:col>9</xdr:col>
      <xdr:colOff>326230</xdr:colOff>
      <xdr:row>21</xdr:row>
      <xdr:rowOff>152400</xdr:rowOff>
    </xdr:to>
    <xdr:graphicFrame macro="">
      <xdr:nvGraphicFramePr>
        <xdr:cNvPr id="8" name="Chart 7">
          <a:extLst>
            <a:ext uri="{FF2B5EF4-FFF2-40B4-BE49-F238E27FC236}">
              <a16:creationId xmlns:a16="http://schemas.microsoft.com/office/drawing/2014/main" id="{93E492C3-3450-4881-63C3-30B2A946B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173830</xdr:colOff>
      <xdr:row>7</xdr:row>
      <xdr:rowOff>47625</xdr:rowOff>
    </xdr:from>
    <xdr:to>
      <xdr:col>8</xdr:col>
      <xdr:colOff>26193</xdr:colOff>
      <xdr:row>22</xdr:row>
      <xdr:rowOff>76200</xdr:rowOff>
    </xdr:to>
    <xdr:graphicFrame macro="">
      <xdr:nvGraphicFramePr>
        <xdr:cNvPr id="2" name="Chart 1">
          <a:extLst>
            <a:ext uri="{FF2B5EF4-FFF2-40B4-BE49-F238E27FC236}">
              <a16:creationId xmlns:a16="http://schemas.microsoft.com/office/drawing/2014/main" id="{6A585DB9-B457-7FED-D243-3BC6449D4B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378618</xdr:colOff>
      <xdr:row>5</xdr:row>
      <xdr:rowOff>61912</xdr:rowOff>
    </xdr:from>
    <xdr:to>
      <xdr:col>10</xdr:col>
      <xdr:colOff>416718</xdr:colOff>
      <xdr:row>20</xdr:row>
      <xdr:rowOff>90487</xdr:rowOff>
    </xdr:to>
    <xdr:graphicFrame macro="">
      <xdr:nvGraphicFramePr>
        <xdr:cNvPr id="2" name="Chart 1">
          <a:extLst>
            <a:ext uri="{FF2B5EF4-FFF2-40B4-BE49-F238E27FC236}">
              <a16:creationId xmlns:a16="http://schemas.microsoft.com/office/drawing/2014/main" id="{95EB28F6-2CB3-F22D-E4EC-356B47073A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114300</xdr:colOff>
      <xdr:row>0</xdr:row>
      <xdr:rowOff>9525</xdr:rowOff>
    </xdr:from>
    <xdr:to>
      <xdr:col>20</xdr:col>
      <xdr:colOff>638885</xdr:colOff>
      <xdr:row>35</xdr:row>
      <xdr:rowOff>161925</xdr:rowOff>
    </xdr:to>
    <xdr:pic>
      <xdr:nvPicPr>
        <xdr:cNvPr id="3" name="Picture 2">
          <a:extLst>
            <a:ext uri="{FF2B5EF4-FFF2-40B4-BE49-F238E27FC236}">
              <a16:creationId xmlns:a16="http://schemas.microsoft.com/office/drawing/2014/main" id="{F6631CDC-2D71-24DF-F42D-7A04A9A8B5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300" y="9525"/>
          <a:ext cx="13478585" cy="6486525"/>
        </a:xfrm>
        <a:prstGeom prst="rect">
          <a:avLst/>
        </a:prstGeom>
      </xdr:spPr>
    </xdr:pic>
    <xdr:clientData/>
  </xdr:twoCellAnchor>
  <xdr:twoCellAnchor>
    <xdr:from>
      <xdr:col>15</xdr:col>
      <xdr:colOff>304800</xdr:colOff>
      <xdr:row>7</xdr:row>
      <xdr:rowOff>80962</xdr:rowOff>
    </xdr:from>
    <xdr:to>
      <xdr:col>20</xdr:col>
      <xdr:colOff>409574</xdr:colOff>
      <xdr:row>19</xdr:row>
      <xdr:rowOff>121491</xdr:rowOff>
    </xdr:to>
    <xdr:graphicFrame macro="">
      <xdr:nvGraphicFramePr>
        <xdr:cNvPr id="4" name="Chart 3">
          <a:extLst>
            <a:ext uri="{FF2B5EF4-FFF2-40B4-BE49-F238E27FC236}">
              <a16:creationId xmlns:a16="http://schemas.microsoft.com/office/drawing/2014/main" id="{2999743D-295D-4FE9-8877-5AA3BBC0F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361950</xdr:colOff>
      <xdr:row>22</xdr:row>
      <xdr:rowOff>142875</xdr:rowOff>
    </xdr:from>
    <xdr:to>
      <xdr:col>8</xdr:col>
      <xdr:colOff>361950</xdr:colOff>
      <xdr:row>34</xdr:row>
      <xdr:rowOff>109536</xdr:rowOff>
    </xdr:to>
    <xdr:graphicFrame macro="">
      <xdr:nvGraphicFramePr>
        <xdr:cNvPr id="5" name="Chart 4">
          <a:extLst>
            <a:ext uri="{FF2B5EF4-FFF2-40B4-BE49-F238E27FC236}">
              <a16:creationId xmlns:a16="http://schemas.microsoft.com/office/drawing/2014/main" id="{B37B004C-D1F3-4DE8-A8A3-693575D6D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339056</xdr:colOff>
      <xdr:row>6</xdr:row>
      <xdr:rowOff>78150</xdr:rowOff>
    </xdr:from>
    <xdr:to>
      <xdr:col>2</xdr:col>
      <xdr:colOff>126752</xdr:colOff>
      <xdr:row>15</xdr:row>
      <xdr:rowOff>180974</xdr:rowOff>
    </xdr:to>
    <mc:AlternateContent xmlns:mc="http://schemas.openxmlformats.org/markup-compatibility/2006" xmlns:a14="http://schemas.microsoft.com/office/drawing/2010/main">
      <mc:Choice Requires="a14">
        <xdr:graphicFrame macro="">
          <xdr:nvGraphicFramePr>
            <xdr:cNvPr id="9" name="Estimated_Impact_Year 1">
              <a:extLst>
                <a:ext uri="{FF2B5EF4-FFF2-40B4-BE49-F238E27FC236}">
                  <a16:creationId xmlns:a16="http://schemas.microsoft.com/office/drawing/2014/main" id="{37F80326-C1CC-40FA-BFC7-F616D5BB3A8B}"/>
                </a:ext>
              </a:extLst>
            </xdr:cNvPr>
            <xdr:cNvGraphicFramePr/>
          </xdr:nvGraphicFramePr>
          <xdr:xfrm>
            <a:off x="0" y="0"/>
            <a:ext cx="0" cy="0"/>
          </xdr:xfrm>
          <a:graphic>
            <a:graphicData uri="http://schemas.microsoft.com/office/drawing/2010/slicer">
              <sle:slicer xmlns:sle="http://schemas.microsoft.com/office/drawing/2010/slicer" name="Estimated_Impact_Year 1"/>
            </a:graphicData>
          </a:graphic>
        </xdr:graphicFrame>
      </mc:Choice>
      <mc:Fallback xmlns="">
        <xdr:sp macro="" textlink="">
          <xdr:nvSpPr>
            <xdr:cNvPr id="0" name=""/>
            <xdr:cNvSpPr>
              <a:spLocks noTextEdit="1"/>
            </xdr:cNvSpPr>
          </xdr:nvSpPr>
          <xdr:spPr>
            <a:xfrm>
              <a:off x="339056" y="1157002"/>
              <a:ext cx="1080375" cy="1721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66674</xdr:colOff>
      <xdr:row>7</xdr:row>
      <xdr:rowOff>68855</xdr:rowOff>
    </xdr:from>
    <xdr:to>
      <xdr:col>14</xdr:col>
      <xdr:colOff>642937</xdr:colOff>
      <xdr:row>19</xdr:row>
      <xdr:rowOff>161925</xdr:rowOff>
    </xdr:to>
    <xdr:graphicFrame macro="">
      <xdr:nvGraphicFramePr>
        <xdr:cNvPr id="12" name="Chart 11">
          <a:extLst>
            <a:ext uri="{FF2B5EF4-FFF2-40B4-BE49-F238E27FC236}">
              <a16:creationId xmlns:a16="http://schemas.microsoft.com/office/drawing/2014/main" id="{D71F1210-4F31-4F33-A5BC-8B46F50690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352425</xdr:colOff>
      <xdr:row>7</xdr:row>
      <xdr:rowOff>76200</xdr:rowOff>
    </xdr:from>
    <xdr:to>
      <xdr:col>8</xdr:col>
      <xdr:colOff>347663</xdr:colOff>
      <xdr:row>19</xdr:row>
      <xdr:rowOff>104775</xdr:rowOff>
    </xdr:to>
    <xdr:graphicFrame macro="">
      <xdr:nvGraphicFramePr>
        <xdr:cNvPr id="14" name="Chart 13">
          <a:extLst>
            <a:ext uri="{FF2B5EF4-FFF2-40B4-BE49-F238E27FC236}">
              <a16:creationId xmlns:a16="http://schemas.microsoft.com/office/drawing/2014/main" id="{0559A14F-74BB-47D1-8626-9A20720F2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9525</xdr:colOff>
      <xdr:row>23</xdr:row>
      <xdr:rowOff>4763</xdr:rowOff>
    </xdr:from>
    <xdr:to>
      <xdr:col>15</xdr:col>
      <xdr:colOff>57149</xdr:colOff>
      <xdr:row>34</xdr:row>
      <xdr:rowOff>109537</xdr:rowOff>
    </xdr:to>
    <xdr:graphicFrame macro="">
      <xdr:nvGraphicFramePr>
        <xdr:cNvPr id="15" name="Chart 14">
          <a:extLst>
            <a:ext uri="{FF2B5EF4-FFF2-40B4-BE49-F238E27FC236}">
              <a16:creationId xmlns:a16="http://schemas.microsoft.com/office/drawing/2014/main" id="{535786AA-65D4-475E-987D-75F9199DD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323849</xdr:colOff>
      <xdr:row>22</xdr:row>
      <xdr:rowOff>100013</xdr:rowOff>
    </xdr:from>
    <xdr:to>
      <xdr:col>20</xdr:col>
      <xdr:colOff>390524</xdr:colOff>
      <xdr:row>34</xdr:row>
      <xdr:rowOff>80963</xdr:rowOff>
    </xdr:to>
    <xdr:graphicFrame macro="">
      <xdr:nvGraphicFramePr>
        <xdr:cNvPr id="16" name="Chart 15">
          <a:extLst>
            <a:ext uri="{FF2B5EF4-FFF2-40B4-BE49-F238E27FC236}">
              <a16:creationId xmlns:a16="http://schemas.microsoft.com/office/drawing/2014/main" id="{8384DBCC-9BE0-4BEE-84D7-5B8869E5E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335154</xdr:colOff>
      <xdr:row>16</xdr:row>
      <xdr:rowOff>23811</xdr:rowOff>
    </xdr:from>
    <xdr:to>
      <xdr:col>2</xdr:col>
      <xdr:colOff>117801</xdr:colOff>
      <xdr:row>24</xdr:row>
      <xdr:rowOff>142874</xdr:rowOff>
    </xdr:to>
    <mc:AlternateContent xmlns:mc="http://schemas.openxmlformats.org/markup-compatibility/2006" xmlns:a14="http://schemas.microsoft.com/office/drawing/2010/main">
      <mc:Choice Requires="a14">
        <xdr:graphicFrame macro="">
          <xdr:nvGraphicFramePr>
            <xdr:cNvPr id="17" name="Location 1">
              <a:extLst>
                <a:ext uri="{FF2B5EF4-FFF2-40B4-BE49-F238E27FC236}">
                  <a16:creationId xmlns:a16="http://schemas.microsoft.com/office/drawing/2014/main" id="{199975A7-89A4-40BB-B400-6835AABB0770}"/>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335154" y="2900750"/>
              <a:ext cx="1075326" cy="1557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333318</xdr:colOff>
      <xdr:row>24</xdr:row>
      <xdr:rowOff>138113</xdr:rowOff>
    </xdr:from>
    <xdr:to>
      <xdr:col>2</xdr:col>
      <xdr:colOff>93012</xdr:colOff>
      <xdr:row>34</xdr:row>
      <xdr:rowOff>71668</xdr:rowOff>
    </xdr:to>
    <mc:AlternateContent xmlns:mc="http://schemas.openxmlformats.org/markup-compatibility/2006" xmlns:a14="http://schemas.microsoft.com/office/drawing/2010/main">
      <mc:Choice Requires="a14">
        <xdr:graphicFrame macro="">
          <xdr:nvGraphicFramePr>
            <xdr:cNvPr id="18" name="Industry 1">
              <a:extLst>
                <a:ext uri="{FF2B5EF4-FFF2-40B4-BE49-F238E27FC236}">
                  <a16:creationId xmlns:a16="http://schemas.microsoft.com/office/drawing/2014/main" id="{4F70F2B1-5AED-42C3-AF0B-029919D07F76}"/>
                </a:ext>
              </a:extLst>
            </xdr:cNvPr>
            <xdr:cNvGraphicFramePr/>
          </xdr:nvGraphicFramePr>
          <xdr:xfrm>
            <a:off x="0" y="0"/>
            <a:ext cx="0" cy="0"/>
          </xdr:xfrm>
          <a:graphic>
            <a:graphicData uri="http://schemas.microsoft.com/office/drawing/2010/slicer">
              <sle:slicer xmlns:sle="http://schemas.microsoft.com/office/drawing/2010/slicer" name="Industry 1"/>
            </a:graphicData>
          </a:graphic>
        </xdr:graphicFrame>
      </mc:Choice>
      <mc:Fallback xmlns="">
        <xdr:sp macro="" textlink="">
          <xdr:nvSpPr>
            <xdr:cNvPr id="0" name=""/>
            <xdr:cNvSpPr>
              <a:spLocks noTextEdit="1"/>
            </xdr:cNvSpPr>
          </xdr:nvSpPr>
          <xdr:spPr>
            <a:xfrm>
              <a:off x="333318" y="4453521"/>
              <a:ext cx="1052373" cy="1731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275422</xdr:colOff>
      <xdr:row>0</xdr:row>
      <xdr:rowOff>51642</xdr:rowOff>
    </xdr:from>
    <xdr:to>
      <xdr:col>9</xdr:col>
      <xdr:colOff>240993</xdr:colOff>
      <xdr:row>2</xdr:row>
      <xdr:rowOff>97545</xdr:rowOff>
    </xdr:to>
    <xdr:sp macro="" textlink="">
      <xdr:nvSpPr>
        <xdr:cNvPr id="19" name="TextBox 18">
          <a:extLst>
            <a:ext uri="{FF2B5EF4-FFF2-40B4-BE49-F238E27FC236}">
              <a16:creationId xmlns:a16="http://schemas.microsoft.com/office/drawing/2014/main" id="{30A82F57-03F1-0DDB-860B-24C8B5AF1916}"/>
            </a:ext>
          </a:extLst>
        </xdr:cNvPr>
        <xdr:cNvSpPr txBox="1"/>
      </xdr:nvSpPr>
      <xdr:spPr>
        <a:xfrm>
          <a:off x="275422" y="51642"/>
          <a:ext cx="5801069" cy="413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u="none" cap="none" spc="50">
              <a:ln w="9525" cmpd="sng">
                <a:solidFill>
                  <a:schemeClr val="accent1"/>
                </a:solidFill>
                <a:prstDash val="solid"/>
              </a:ln>
              <a:solidFill>
                <a:srgbClr val="70AD47">
                  <a:tint val="1000"/>
                </a:srgbClr>
              </a:solidFill>
              <a:effectLst>
                <a:glow rad="38100">
                  <a:schemeClr val="accent1">
                    <a:alpha val="40000"/>
                  </a:schemeClr>
                </a:glow>
              </a:effectLst>
              <a:latin typeface="Algerian" panose="04020705040A02060702" pitchFamily="82" charset="0"/>
            </a:rPr>
            <a:t>AI AUTOMATION JOB IMAPACT </a:t>
          </a:r>
          <a:endParaRPr lang="en-IN" sz="2400" b="1" u="sng" cap="none" spc="50">
            <a:ln w="9525" cmpd="sng">
              <a:solidFill>
                <a:schemeClr val="accent1"/>
              </a:solidFill>
              <a:prstDash val="solid"/>
            </a:ln>
            <a:solidFill>
              <a:srgbClr val="70AD47">
                <a:tint val="1000"/>
              </a:srgbClr>
            </a:solidFill>
            <a:effectLst>
              <a:glow rad="38100">
                <a:schemeClr val="accent1">
                  <a:alpha val="40000"/>
                </a:schemeClr>
              </a:glow>
            </a:effectLst>
            <a:latin typeface="Algerian" panose="04020705040A02060702" pitchFamily="82" charset="0"/>
          </a:endParaRPr>
        </a:p>
      </xdr:txBody>
    </xdr:sp>
    <xdr:clientData/>
  </xdr:twoCellAnchor>
  <xdr:twoCellAnchor>
    <xdr:from>
      <xdr:col>2</xdr:col>
      <xdr:colOff>378705</xdr:colOff>
      <xdr:row>5</xdr:row>
      <xdr:rowOff>133350</xdr:rowOff>
    </xdr:from>
    <xdr:to>
      <xdr:col>8</xdr:col>
      <xdr:colOff>166401</xdr:colOff>
      <xdr:row>7</xdr:row>
      <xdr:rowOff>109538</xdr:rowOff>
    </xdr:to>
    <xdr:sp macro="" textlink="">
      <xdr:nvSpPr>
        <xdr:cNvPr id="20" name="TextBox 19">
          <a:extLst>
            <a:ext uri="{FF2B5EF4-FFF2-40B4-BE49-F238E27FC236}">
              <a16:creationId xmlns:a16="http://schemas.microsoft.com/office/drawing/2014/main" id="{E88833DD-33B5-0E8B-F61C-857D9659A995}"/>
            </a:ext>
          </a:extLst>
        </xdr:cNvPr>
        <xdr:cNvSpPr txBox="1"/>
      </xdr:nvSpPr>
      <xdr:spPr>
        <a:xfrm>
          <a:off x="1674105" y="1038225"/>
          <a:ext cx="3673896" cy="3381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0" cap="none" spc="0">
              <a:ln w="0"/>
              <a:solidFill>
                <a:schemeClr val="accent4"/>
              </a:solidFill>
              <a:effectLst>
                <a:outerShdw blurRad="38100" dist="19050" dir="2700000" algn="tl" rotWithShape="0">
                  <a:schemeClr val="dk1">
                    <a:alpha val="40000"/>
                  </a:schemeClr>
                </a:outerShdw>
              </a:effectLst>
              <a:latin typeface="Arial Black" panose="020B0A04020102020204" pitchFamily="34" charset="0"/>
            </a:rPr>
            <a:t>YEAR WISE IMPACT</a:t>
          </a:r>
        </a:p>
      </xdr:txBody>
    </xdr:sp>
    <xdr:clientData/>
  </xdr:twoCellAnchor>
  <xdr:twoCellAnchor>
    <xdr:from>
      <xdr:col>9</xdr:col>
      <xdr:colOff>61912</xdr:colOff>
      <xdr:row>5</xdr:row>
      <xdr:rowOff>123824</xdr:rowOff>
    </xdr:from>
    <xdr:to>
      <xdr:col>15</xdr:col>
      <xdr:colOff>38099</xdr:colOff>
      <xdr:row>7</xdr:row>
      <xdr:rowOff>52387</xdr:rowOff>
    </xdr:to>
    <xdr:sp macro="" textlink="">
      <xdr:nvSpPr>
        <xdr:cNvPr id="21" name="TextBox 20">
          <a:extLst>
            <a:ext uri="{FF2B5EF4-FFF2-40B4-BE49-F238E27FC236}">
              <a16:creationId xmlns:a16="http://schemas.microsoft.com/office/drawing/2014/main" id="{7CC91091-8A5F-686C-5276-2100FAEABE00}"/>
            </a:ext>
          </a:extLst>
        </xdr:cNvPr>
        <xdr:cNvSpPr txBox="1"/>
      </xdr:nvSpPr>
      <xdr:spPr>
        <a:xfrm>
          <a:off x="5891212" y="1028699"/>
          <a:ext cx="3862387" cy="290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050" b="1">
              <a:solidFill>
                <a:schemeClr val="accent4"/>
              </a:solidFill>
              <a:effectLst/>
              <a:latin typeface="Arial Black" panose="020B0A04020102020204" pitchFamily="34" charset="0"/>
              <a:ea typeface="+mn-ea"/>
              <a:cs typeface="+mn-cs"/>
            </a:rPr>
            <a:t>INDUSTRY WISE</a:t>
          </a:r>
          <a:r>
            <a:rPr lang="en-IN" sz="1050" b="1" baseline="0">
              <a:solidFill>
                <a:schemeClr val="accent4"/>
              </a:solidFill>
              <a:effectLst/>
              <a:latin typeface="Arial Black" panose="020B0A04020102020204" pitchFamily="34" charset="0"/>
              <a:ea typeface="+mn-ea"/>
              <a:cs typeface="+mn-cs"/>
            </a:rPr>
            <a:t> SAFE AND  CURRENT EMPLOYEE</a:t>
          </a:r>
          <a:endParaRPr lang="en-IN" sz="1050">
            <a:solidFill>
              <a:schemeClr val="accent4"/>
            </a:solidFill>
            <a:effectLst/>
            <a:latin typeface="Arial Black" panose="020B0A04020102020204" pitchFamily="34" charset="0"/>
          </a:endParaRPr>
        </a:p>
        <a:p>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2</xdr:col>
      <xdr:colOff>378705</xdr:colOff>
      <xdr:row>21</xdr:row>
      <xdr:rowOff>47625</xdr:rowOff>
    </xdr:from>
    <xdr:to>
      <xdr:col>8</xdr:col>
      <xdr:colOff>177877</xdr:colOff>
      <xdr:row>22</xdr:row>
      <xdr:rowOff>114300</xdr:rowOff>
    </xdr:to>
    <xdr:sp macro="" textlink="">
      <xdr:nvSpPr>
        <xdr:cNvPr id="22" name="TextBox 21">
          <a:extLst>
            <a:ext uri="{FF2B5EF4-FFF2-40B4-BE49-F238E27FC236}">
              <a16:creationId xmlns:a16="http://schemas.microsoft.com/office/drawing/2014/main" id="{E6D3D075-65E2-B97D-920B-A620EAB19556}"/>
            </a:ext>
          </a:extLst>
        </xdr:cNvPr>
        <xdr:cNvSpPr txBox="1"/>
      </xdr:nvSpPr>
      <xdr:spPr>
        <a:xfrm>
          <a:off x="1674105" y="3848100"/>
          <a:ext cx="3685372"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4"/>
              </a:solidFill>
              <a:latin typeface="Arial Black" panose="020B0A04020102020204" pitchFamily="34" charset="0"/>
            </a:rPr>
            <a:t>LOCATION WISE</a:t>
          </a:r>
          <a:r>
            <a:rPr lang="en-IN" sz="1200" b="1" baseline="0">
              <a:solidFill>
                <a:schemeClr val="accent4"/>
              </a:solidFill>
              <a:latin typeface="Arial Black" panose="020B0A04020102020204" pitchFamily="34" charset="0"/>
            </a:rPr>
            <a:t> RISK PERCENTAGE</a:t>
          </a:r>
          <a:endParaRPr lang="en-IN" sz="1200" b="1">
            <a:solidFill>
              <a:schemeClr val="accent4"/>
            </a:solidFill>
            <a:latin typeface="Arial Black" panose="020B0A04020102020204" pitchFamily="34" charset="0"/>
          </a:endParaRPr>
        </a:p>
      </xdr:txBody>
    </xdr:sp>
    <xdr:clientData/>
  </xdr:twoCellAnchor>
  <xdr:twoCellAnchor>
    <xdr:from>
      <xdr:col>8</xdr:col>
      <xdr:colOff>613961</xdr:colOff>
      <xdr:row>21</xdr:row>
      <xdr:rowOff>52387</xdr:rowOff>
    </xdr:from>
    <xdr:to>
      <xdr:col>14</xdr:col>
      <xdr:colOff>418870</xdr:colOff>
      <xdr:row>22</xdr:row>
      <xdr:rowOff>147637</xdr:rowOff>
    </xdr:to>
    <xdr:sp macro="" textlink="">
      <xdr:nvSpPr>
        <xdr:cNvPr id="23" name="TextBox 22">
          <a:extLst>
            <a:ext uri="{FF2B5EF4-FFF2-40B4-BE49-F238E27FC236}">
              <a16:creationId xmlns:a16="http://schemas.microsoft.com/office/drawing/2014/main" id="{EEE77BCF-7181-9243-6C1D-39BB25317AF3}"/>
            </a:ext>
          </a:extLst>
        </xdr:cNvPr>
        <xdr:cNvSpPr txBox="1"/>
      </xdr:nvSpPr>
      <xdr:spPr>
        <a:xfrm>
          <a:off x="5795561" y="3852862"/>
          <a:ext cx="369110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solidFill>
                <a:schemeClr val="accent4"/>
              </a:solidFill>
              <a:latin typeface="Arial Black" panose="020B0A04020102020204" pitchFamily="34" charset="0"/>
            </a:rPr>
            <a:t>LOCATION WISE CURRENT</a:t>
          </a:r>
          <a:r>
            <a:rPr lang="en-IN" sz="1200" baseline="0">
              <a:solidFill>
                <a:schemeClr val="accent4"/>
              </a:solidFill>
              <a:latin typeface="Arial Black" panose="020B0A04020102020204" pitchFamily="34" charset="0"/>
            </a:rPr>
            <a:t> EMPLOYEE</a:t>
          </a:r>
          <a:endParaRPr lang="en-IN" sz="1200">
            <a:solidFill>
              <a:schemeClr val="accent4"/>
            </a:solidFill>
            <a:latin typeface="Arial Black" panose="020B0A04020102020204" pitchFamily="34" charset="0"/>
          </a:endParaRPr>
        </a:p>
      </xdr:txBody>
    </xdr:sp>
    <xdr:clientData/>
  </xdr:twoCellAnchor>
  <xdr:twoCellAnchor>
    <xdr:from>
      <xdr:col>15</xdr:col>
      <xdr:colOff>281159</xdr:colOff>
      <xdr:row>5</xdr:row>
      <xdr:rowOff>119062</xdr:rowOff>
    </xdr:from>
    <xdr:to>
      <xdr:col>20</xdr:col>
      <xdr:colOff>195090</xdr:colOff>
      <xdr:row>7</xdr:row>
      <xdr:rowOff>19049</xdr:rowOff>
    </xdr:to>
    <xdr:sp macro="" textlink="">
      <xdr:nvSpPr>
        <xdr:cNvPr id="24" name="TextBox 23">
          <a:extLst>
            <a:ext uri="{FF2B5EF4-FFF2-40B4-BE49-F238E27FC236}">
              <a16:creationId xmlns:a16="http://schemas.microsoft.com/office/drawing/2014/main" id="{E592EB0C-C66E-8CE2-CF4B-B80CF2376571}"/>
            </a:ext>
          </a:extLst>
        </xdr:cNvPr>
        <xdr:cNvSpPr txBox="1"/>
      </xdr:nvSpPr>
      <xdr:spPr>
        <a:xfrm>
          <a:off x="9996659" y="1023937"/>
          <a:ext cx="3152431"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accent4"/>
              </a:solidFill>
              <a:latin typeface="Arial Black" panose="020B0A04020102020204" pitchFamily="34" charset="0"/>
            </a:rPr>
            <a:t>INDUSTRY WISE RISK PERCENTAGE</a:t>
          </a:r>
        </a:p>
      </xdr:txBody>
    </xdr:sp>
    <xdr:clientData/>
  </xdr:twoCellAnchor>
  <xdr:twoCellAnchor>
    <xdr:from>
      <xdr:col>15</xdr:col>
      <xdr:colOff>304111</xdr:colOff>
      <xdr:row>20</xdr:row>
      <xdr:rowOff>157163</xdr:rowOff>
    </xdr:from>
    <xdr:to>
      <xdr:col>20</xdr:col>
      <xdr:colOff>126235</xdr:colOff>
      <xdr:row>22</xdr:row>
      <xdr:rowOff>42863</xdr:rowOff>
    </xdr:to>
    <xdr:sp macro="" textlink="">
      <xdr:nvSpPr>
        <xdr:cNvPr id="25" name="TextBox 24">
          <a:extLst>
            <a:ext uri="{FF2B5EF4-FFF2-40B4-BE49-F238E27FC236}">
              <a16:creationId xmlns:a16="http://schemas.microsoft.com/office/drawing/2014/main" id="{1E551AC2-248E-FCA0-5AE0-533982280137}"/>
            </a:ext>
          </a:extLst>
        </xdr:cNvPr>
        <xdr:cNvSpPr txBox="1"/>
      </xdr:nvSpPr>
      <xdr:spPr>
        <a:xfrm>
          <a:off x="10019611" y="3776663"/>
          <a:ext cx="3060624"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rgbClr val="7030A0"/>
              </a:solidFill>
              <a:latin typeface="Arial Black" panose="020B0A04020102020204" pitchFamily="34" charset="0"/>
            </a:rPr>
            <a:t>TOP</a:t>
          </a:r>
          <a:r>
            <a:rPr lang="en-IN" sz="1100" b="1" baseline="0">
              <a:solidFill>
                <a:srgbClr val="7030A0"/>
              </a:solidFill>
              <a:latin typeface="Arial Black" panose="020B0A04020102020204" pitchFamily="34" charset="0"/>
            </a:rPr>
            <a:t> 5 INDUSTRY WISE RISK</a:t>
          </a:r>
          <a:endParaRPr lang="en-IN" sz="1100" b="1">
            <a:solidFill>
              <a:srgbClr val="7030A0"/>
            </a:solidFill>
            <a:latin typeface="Arial Black" panose="020B0A04020102020204" pitchFamily="34" charset="0"/>
          </a:endParaRPr>
        </a:p>
      </xdr:txBody>
    </xdr:sp>
    <xdr:clientData/>
  </xdr:twoCellAnchor>
  <xdr:twoCellAnchor>
    <xdr:from>
      <xdr:col>10</xdr:col>
      <xdr:colOff>219074</xdr:colOff>
      <xdr:row>0</xdr:row>
      <xdr:rowOff>97545</xdr:rowOff>
    </xdr:from>
    <xdr:to>
      <xdr:col>13</xdr:col>
      <xdr:colOff>133349</xdr:colOff>
      <xdr:row>2</xdr:row>
      <xdr:rowOff>28690</xdr:rowOff>
    </xdr:to>
    <xdr:sp macro="" textlink="">
      <xdr:nvSpPr>
        <xdr:cNvPr id="2" name="TextBox 1">
          <a:extLst>
            <a:ext uri="{FF2B5EF4-FFF2-40B4-BE49-F238E27FC236}">
              <a16:creationId xmlns:a16="http://schemas.microsoft.com/office/drawing/2014/main" id="{2E69532E-3DF1-93AB-A857-3865B0F6AADA}"/>
            </a:ext>
          </a:extLst>
        </xdr:cNvPr>
        <xdr:cNvSpPr txBox="1"/>
      </xdr:nvSpPr>
      <xdr:spPr>
        <a:xfrm>
          <a:off x="6696074" y="97545"/>
          <a:ext cx="1857375" cy="2930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latin typeface="Arial Black" panose="020B0A04020102020204" pitchFamily="34" charset="0"/>
            </a:rPr>
            <a:t>TOTAL</a:t>
          </a:r>
          <a:r>
            <a:rPr lang="en-IN" sz="1200" b="1" baseline="0">
              <a:latin typeface="Arial Black" panose="020B0A04020102020204" pitchFamily="34" charset="0"/>
            </a:rPr>
            <a:t> EMPLOYEE</a:t>
          </a:r>
          <a:endParaRPr lang="en-IN" sz="1200" b="1">
            <a:latin typeface="Arial Black" panose="020B0A04020102020204" pitchFamily="34" charset="0"/>
          </a:endParaRPr>
        </a:p>
      </xdr:txBody>
    </xdr:sp>
    <xdr:clientData/>
  </xdr:twoCellAnchor>
  <xdr:twoCellAnchor>
    <xdr:from>
      <xdr:col>14</xdr:col>
      <xdr:colOff>0</xdr:colOff>
      <xdr:row>0</xdr:row>
      <xdr:rowOff>86069</xdr:rowOff>
    </xdr:from>
    <xdr:to>
      <xdr:col>16</xdr:col>
      <xdr:colOff>566738</xdr:colOff>
      <xdr:row>1</xdr:row>
      <xdr:rowOff>177877</xdr:rowOff>
    </xdr:to>
    <xdr:sp macro="" textlink="">
      <xdr:nvSpPr>
        <xdr:cNvPr id="6" name="TextBox 5">
          <a:extLst>
            <a:ext uri="{FF2B5EF4-FFF2-40B4-BE49-F238E27FC236}">
              <a16:creationId xmlns:a16="http://schemas.microsoft.com/office/drawing/2014/main" id="{A9BCED42-9856-9056-F419-51D038EA3CEC}"/>
            </a:ext>
          </a:extLst>
        </xdr:cNvPr>
        <xdr:cNvSpPr txBox="1"/>
      </xdr:nvSpPr>
      <xdr:spPr>
        <a:xfrm>
          <a:off x="9067800" y="86069"/>
          <a:ext cx="1862138" cy="2727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Black" panose="020B0A04020102020204" pitchFamily="34" charset="0"/>
            </a:rPr>
            <a:t>RISK PERCENTAGE</a:t>
          </a:r>
        </a:p>
      </xdr:txBody>
    </xdr:sp>
    <xdr:clientData/>
  </xdr:twoCellAnchor>
  <xdr:twoCellAnchor>
    <xdr:from>
      <xdr:col>17</xdr:col>
      <xdr:colOff>385762</xdr:colOff>
      <xdr:row>0</xdr:row>
      <xdr:rowOff>80331</xdr:rowOff>
    </xdr:from>
    <xdr:to>
      <xdr:col>20</xdr:col>
      <xdr:colOff>323849</xdr:colOff>
      <xdr:row>2</xdr:row>
      <xdr:rowOff>0</xdr:rowOff>
    </xdr:to>
    <xdr:sp macro="" textlink="">
      <xdr:nvSpPr>
        <xdr:cNvPr id="7" name="TextBox 6">
          <a:extLst>
            <a:ext uri="{FF2B5EF4-FFF2-40B4-BE49-F238E27FC236}">
              <a16:creationId xmlns:a16="http://schemas.microsoft.com/office/drawing/2014/main" id="{32AFE703-4F26-D1F7-3C6E-D4BDB4BEC49A}"/>
            </a:ext>
          </a:extLst>
        </xdr:cNvPr>
        <xdr:cNvSpPr txBox="1"/>
      </xdr:nvSpPr>
      <xdr:spPr>
        <a:xfrm>
          <a:off x="11396662" y="80331"/>
          <a:ext cx="1881187" cy="281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rial Black" panose="020B0A04020102020204" pitchFamily="34" charset="0"/>
            </a:rPr>
            <a:t>SAFE PERCANTAGE</a:t>
          </a:r>
        </a:p>
      </xdr:txBody>
    </xdr:sp>
    <xdr:clientData/>
  </xdr:twoCellAnchor>
  <xdr:twoCellAnchor>
    <xdr:from>
      <xdr:col>10</xdr:col>
      <xdr:colOff>160662</xdr:colOff>
      <xdr:row>1</xdr:row>
      <xdr:rowOff>172139</xdr:rowOff>
    </xdr:from>
    <xdr:to>
      <xdr:col>13</xdr:col>
      <xdr:colOff>133350</xdr:colOff>
      <xdr:row>3</xdr:row>
      <xdr:rowOff>149187</xdr:rowOff>
    </xdr:to>
    <xdr:sp macro="" textlink="Sheet9!B7">
      <xdr:nvSpPr>
        <xdr:cNvPr id="8" name="TextBox 7">
          <a:extLst>
            <a:ext uri="{FF2B5EF4-FFF2-40B4-BE49-F238E27FC236}">
              <a16:creationId xmlns:a16="http://schemas.microsoft.com/office/drawing/2014/main" id="{F476C6E0-5E47-4196-21CA-EB11200918D6}"/>
            </a:ext>
          </a:extLst>
        </xdr:cNvPr>
        <xdr:cNvSpPr txBox="1"/>
      </xdr:nvSpPr>
      <xdr:spPr>
        <a:xfrm>
          <a:off x="6637662" y="353114"/>
          <a:ext cx="1915788" cy="338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71E13C-4C4F-40EB-AB34-DAD026562B8B}" type="TxLink">
            <a:rPr lang="en-US" sz="1600" b="1" i="0" u="none" strike="noStrike">
              <a:solidFill>
                <a:srgbClr val="7030A0"/>
              </a:solidFill>
              <a:latin typeface="Arial Black" panose="020B0A04020102020204" pitchFamily="34" charset="0"/>
              <a:ea typeface="Calibri"/>
              <a:cs typeface="Calibri"/>
            </a:rPr>
            <a:pPr algn="ctr"/>
            <a:t>1264977</a:t>
          </a:fld>
          <a:endParaRPr lang="en-IN" sz="1600" b="1">
            <a:solidFill>
              <a:srgbClr val="7030A0"/>
            </a:solidFill>
            <a:latin typeface="Arial Black" panose="020B0A04020102020204" pitchFamily="34" charset="0"/>
          </a:endParaRPr>
        </a:p>
      </xdr:txBody>
    </xdr:sp>
    <xdr:clientData/>
  </xdr:twoCellAnchor>
  <xdr:twoCellAnchor>
    <xdr:from>
      <xdr:col>13</xdr:col>
      <xdr:colOff>481988</xdr:colOff>
      <xdr:row>1</xdr:row>
      <xdr:rowOff>166401</xdr:rowOff>
    </xdr:from>
    <xdr:to>
      <xdr:col>16</xdr:col>
      <xdr:colOff>441823</xdr:colOff>
      <xdr:row>3</xdr:row>
      <xdr:rowOff>177877</xdr:rowOff>
    </xdr:to>
    <xdr:sp macro="" textlink="Sheet9!A7">
      <xdr:nvSpPr>
        <xdr:cNvPr id="10" name="TextBox 9">
          <a:extLst>
            <a:ext uri="{FF2B5EF4-FFF2-40B4-BE49-F238E27FC236}">
              <a16:creationId xmlns:a16="http://schemas.microsoft.com/office/drawing/2014/main" id="{501F4544-26D9-3992-9D4A-895D86D58708}"/>
            </a:ext>
          </a:extLst>
        </xdr:cNvPr>
        <xdr:cNvSpPr txBox="1"/>
      </xdr:nvSpPr>
      <xdr:spPr>
        <a:xfrm>
          <a:off x="8911040" y="350015"/>
          <a:ext cx="1905000" cy="378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0AE24D-5805-47C1-9CF4-9D3BEDEC1F8C}" type="TxLink">
            <a:rPr lang="en-US" sz="1600" b="0" i="0" u="none" strike="noStrike">
              <a:solidFill>
                <a:srgbClr val="7030A0"/>
              </a:solidFill>
              <a:latin typeface="Arial Black" panose="020B0A04020102020204" pitchFamily="34" charset="0"/>
              <a:ea typeface="Calibri"/>
              <a:cs typeface="Calibri"/>
            </a:rPr>
            <a:pPr algn="ctr"/>
            <a:t>62.644</a:t>
          </a:fld>
          <a:endParaRPr lang="en-IN" sz="1600">
            <a:solidFill>
              <a:srgbClr val="7030A0"/>
            </a:solidFill>
            <a:latin typeface="Arial Black" panose="020B0A04020102020204" pitchFamily="34" charset="0"/>
          </a:endParaRPr>
        </a:p>
      </xdr:txBody>
    </xdr:sp>
    <xdr:clientData/>
  </xdr:twoCellAnchor>
  <xdr:twoCellAnchor>
    <xdr:from>
      <xdr:col>17</xdr:col>
      <xdr:colOff>533400</xdr:colOff>
      <xdr:row>1</xdr:row>
      <xdr:rowOff>133350</xdr:rowOff>
    </xdr:from>
    <xdr:to>
      <xdr:col>20</xdr:col>
      <xdr:colOff>206566</xdr:colOff>
      <xdr:row>3</xdr:row>
      <xdr:rowOff>138113</xdr:rowOff>
    </xdr:to>
    <xdr:sp macro="" textlink="Sheet9!C7">
      <xdr:nvSpPr>
        <xdr:cNvPr id="11" name="TextBox 10">
          <a:extLst>
            <a:ext uri="{FF2B5EF4-FFF2-40B4-BE49-F238E27FC236}">
              <a16:creationId xmlns:a16="http://schemas.microsoft.com/office/drawing/2014/main" id="{4F22546D-DBD6-B143-E4C5-B63A4F6EE613}"/>
            </a:ext>
          </a:extLst>
        </xdr:cNvPr>
        <xdr:cNvSpPr txBox="1"/>
      </xdr:nvSpPr>
      <xdr:spPr>
        <a:xfrm>
          <a:off x="11544300" y="314325"/>
          <a:ext cx="1616266" cy="3667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44FAE3-8469-4E13-9679-0DFCCB0C2E9F}" type="TxLink">
            <a:rPr lang="en-US" sz="1600" b="1" i="0" u="none" strike="noStrike">
              <a:solidFill>
                <a:srgbClr val="7030A0"/>
              </a:solidFill>
              <a:latin typeface="Arial Black" panose="020B0A04020102020204" pitchFamily="34" charset="0"/>
              <a:ea typeface="Calibri"/>
              <a:cs typeface="Calibri"/>
            </a:rPr>
            <a:pPr algn="ctr"/>
            <a:t>37.356</a:t>
          </a:fld>
          <a:endParaRPr lang="en-IN" sz="1600" b="1">
            <a:solidFill>
              <a:srgbClr val="7030A0"/>
            </a:solidFill>
            <a:latin typeface="Arial Black" panose="020B0A04020102020204" pitchFamily="34" charset="0"/>
          </a:endParaRPr>
        </a:p>
      </xdr:txBody>
    </xdr:sp>
    <xdr:clientData/>
  </xdr:twoCellAnchor>
  <xdr:twoCellAnchor>
    <xdr:from>
      <xdr:col>2</xdr:col>
      <xdr:colOff>453298</xdr:colOff>
      <xdr:row>2</xdr:row>
      <xdr:rowOff>11477</xdr:rowOff>
    </xdr:from>
    <xdr:to>
      <xdr:col>7</xdr:col>
      <xdr:colOff>109021</xdr:colOff>
      <xdr:row>4</xdr:row>
      <xdr:rowOff>74594</xdr:rowOff>
    </xdr:to>
    <xdr:sp macro="" textlink="">
      <xdr:nvSpPr>
        <xdr:cNvPr id="13" name="TextBox 12">
          <a:extLst>
            <a:ext uri="{FF2B5EF4-FFF2-40B4-BE49-F238E27FC236}">
              <a16:creationId xmlns:a16="http://schemas.microsoft.com/office/drawing/2014/main" id="{FC89FDC2-1AF3-90C2-B3F5-59DF61F9D43D}"/>
            </a:ext>
          </a:extLst>
        </xdr:cNvPr>
        <xdr:cNvSpPr txBox="1"/>
      </xdr:nvSpPr>
      <xdr:spPr>
        <a:xfrm>
          <a:off x="1750075" y="378706"/>
          <a:ext cx="2897666" cy="430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u="none" cap="none" spc="50">
              <a:ln w="9525" cmpd="sng">
                <a:solidFill>
                  <a:schemeClr val="accent1"/>
                </a:solidFill>
                <a:prstDash val="solid"/>
              </a:ln>
              <a:solidFill>
                <a:srgbClr val="70AD47">
                  <a:tint val="1000"/>
                </a:srgbClr>
              </a:solidFill>
              <a:effectLst>
                <a:glow rad="38100">
                  <a:schemeClr val="accent1">
                    <a:alpha val="40000"/>
                  </a:schemeClr>
                </a:glow>
              </a:effectLst>
              <a:latin typeface="Algerian" panose="04020705040A02060702" pitchFamily="82" charset="0"/>
              <a:ea typeface="+mn-ea"/>
              <a:cs typeface="+mn-cs"/>
            </a:rPr>
            <a:t>DASHBOARD</a:t>
          </a:r>
          <a:endParaRPr lang="en-IN" sz="2400" b="1" u="none" cap="none" spc="50">
            <a:ln w="9525" cmpd="sng">
              <a:solidFill>
                <a:schemeClr val="accent1"/>
              </a:solidFill>
              <a:prstDash val="solid"/>
            </a:ln>
            <a:solidFill>
              <a:srgbClr val="70AD47">
                <a:tint val="1000"/>
              </a:srgbClr>
            </a:solidFill>
            <a:effectLst>
              <a:glow rad="38100">
                <a:schemeClr val="accent1">
                  <a:alpha val="40000"/>
                </a:schemeClr>
              </a:glow>
            </a:effectLst>
            <a:latin typeface="Algerian" panose="04020705040A02060702" pitchFamily="82"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y kumar sahoo" refreshedDate="45850.877045949077" createdVersion="8" refreshedVersion="8" minRefreshableVersion="3" recordCount="500" xr:uid="{DE09CF13-1C65-4E52-94A9-E2A02A2C72EC}">
  <cacheSource type="worksheet">
    <worksheetSource ref="A1:J501" sheet="data"/>
  </cacheSource>
  <cacheFields count="10">
    <cacheField name="Job_ID" numFmtId="0">
      <sharedItems containsSemiMixedTypes="0" containsString="0" containsNumber="1" containsInteger="1" minValue="1" maxValue="500" count="5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sharedItems>
    </cacheField>
    <cacheField name="Job_Title" numFmtId="0">
      <sharedItems/>
    </cacheField>
    <cacheField name="Industry" numFmtId="0">
      <sharedItems count="18">
        <s v="Media"/>
        <s v="Tech Support"/>
        <s v="IT Support"/>
        <s v="Finance"/>
        <s v="Admin"/>
        <s v="Tourism"/>
        <s v="Transport"/>
        <s v="Hospitality"/>
        <s v="Banking"/>
        <s v="Manufacturing"/>
        <s v="Education"/>
        <s v="Retail"/>
        <s v="Support"/>
        <s v="Logistics"/>
        <s v="Admin Support"/>
        <s v="Security"/>
        <s v="Maintenance"/>
        <s v="Customer Service"/>
      </sharedItems>
    </cacheField>
    <cacheField name="Current_Employees" numFmtId="0">
      <sharedItems containsSemiMixedTypes="0" containsString="0" containsNumber="1" containsInteger="1" minValue="211" maxValue="4996"/>
    </cacheField>
    <cacheField name="At_Risk_Percent" numFmtId="0">
      <sharedItems containsSemiMixedTypes="0" containsString="0" containsNumber="1" containsInteger="1" minValue="40" maxValue="85"/>
    </cacheField>
    <cacheField name="Safe_Percent" numFmtId="0">
      <sharedItems containsSemiMixedTypes="0" containsString="0" containsNumber="1" containsInteger="1" minValue="15" maxValue="60"/>
    </cacheField>
    <cacheField name="Estimated_Impact_Year" numFmtId="0">
      <sharedItems containsSemiMixedTypes="0" containsString="0" containsNumber="1" containsInteger="1" minValue="2020" maxValue="2025" count="6">
        <n v="2024"/>
        <n v="2021"/>
        <n v="2025"/>
        <n v="2023"/>
        <n v="2020"/>
        <n v="2022"/>
      </sharedItems>
    </cacheField>
    <cacheField name="Salary (INR)" numFmtId="0">
      <sharedItems containsSemiMixedTypes="0" containsString="0" containsNumber="1" containsInteger="1" minValue="180347" maxValue="597961"/>
    </cacheField>
    <cacheField name="Skill_Upgrade_Required" numFmtId="0">
      <sharedItems/>
    </cacheField>
    <cacheField name="Location" numFmtId="0">
      <sharedItems count="15">
        <s v="Delhi"/>
        <s v="Hyderabad"/>
        <s v="Bhubaneswar"/>
        <s v="Chennai"/>
        <s v="Pune"/>
        <s v="Nagpur"/>
        <s v="Lucknow"/>
        <s v="Goa"/>
        <s v="Bangalore"/>
        <s v="Jaipur"/>
        <s v="Patna"/>
        <s v="Ahmedabad"/>
        <s v="Indore"/>
        <s v="Kolkata"/>
        <s v="Mumbai"/>
      </sharedItems>
    </cacheField>
  </cacheFields>
  <extLst>
    <ext xmlns:x14="http://schemas.microsoft.com/office/spreadsheetml/2009/9/main" uri="{725AE2AE-9491-48be-B2B4-4EB974FC3084}">
      <x14:pivotCacheDefinition pivotCacheId="67201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s v="News Reporter"/>
    <x v="0"/>
    <n v="424"/>
    <n v="63"/>
    <n v="37"/>
    <x v="0"/>
    <n v="376041"/>
    <s v="Yes"/>
    <x v="0"/>
  </r>
  <r>
    <x v="1"/>
    <s v="Help Desk Technician"/>
    <x v="1"/>
    <n v="2250"/>
    <n v="56"/>
    <n v="44"/>
    <x v="1"/>
    <n v="248460"/>
    <s v="Yes"/>
    <x v="1"/>
  </r>
  <r>
    <x v="2"/>
    <s v="Technical Support Staff"/>
    <x v="2"/>
    <n v="1971"/>
    <n v="81"/>
    <n v="19"/>
    <x v="2"/>
    <n v="386699"/>
    <s v="Yes"/>
    <x v="2"/>
  </r>
  <r>
    <x v="3"/>
    <s v="Billing Clerk"/>
    <x v="3"/>
    <n v="4705"/>
    <n v="53"/>
    <n v="47"/>
    <x v="0"/>
    <n v="374182"/>
    <s v="Yes"/>
    <x v="3"/>
  </r>
  <r>
    <x v="4"/>
    <s v="Clerical Assistant"/>
    <x v="4"/>
    <n v="2188"/>
    <n v="51"/>
    <n v="49"/>
    <x v="3"/>
    <n v="386077"/>
    <s v="Yes"/>
    <x v="4"/>
  </r>
  <r>
    <x v="5"/>
    <s v="Travel Agent"/>
    <x v="5"/>
    <n v="2352"/>
    <n v="79"/>
    <n v="21"/>
    <x v="3"/>
    <n v="443704"/>
    <s v="Yes"/>
    <x v="2"/>
  </r>
  <r>
    <x v="6"/>
    <s v="Clerical Assistant"/>
    <x v="4"/>
    <n v="2203"/>
    <n v="45"/>
    <n v="55"/>
    <x v="3"/>
    <n v="423421"/>
    <s v="No"/>
    <x v="0"/>
  </r>
  <r>
    <x v="7"/>
    <s v="News Reporter"/>
    <x v="0"/>
    <n v="4554"/>
    <n v="51"/>
    <n v="49"/>
    <x v="0"/>
    <n v="232888"/>
    <s v="Yes"/>
    <x v="5"/>
  </r>
  <r>
    <x v="8"/>
    <s v="Taxi Driver"/>
    <x v="6"/>
    <n v="479"/>
    <n v="61"/>
    <n v="39"/>
    <x v="3"/>
    <n v="405897"/>
    <s v="Yes"/>
    <x v="1"/>
  </r>
  <r>
    <x v="9"/>
    <s v="Billing Clerk"/>
    <x v="3"/>
    <n v="3443"/>
    <n v="40"/>
    <n v="60"/>
    <x v="3"/>
    <n v="286195"/>
    <s v="No"/>
    <x v="6"/>
  </r>
  <r>
    <x v="10"/>
    <s v="Receptionist"/>
    <x v="7"/>
    <n v="3060"/>
    <n v="40"/>
    <n v="60"/>
    <x v="2"/>
    <n v="235809"/>
    <s v="No"/>
    <x v="7"/>
  </r>
  <r>
    <x v="11"/>
    <s v="Bank Clerk"/>
    <x v="8"/>
    <n v="4327"/>
    <n v="84"/>
    <n v="16"/>
    <x v="2"/>
    <n v="308904"/>
    <s v="Yes"/>
    <x v="2"/>
  </r>
  <r>
    <x v="12"/>
    <s v="Machine Operator"/>
    <x v="9"/>
    <n v="2529"/>
    <n v="42"/>
    <n v="58"/>
    <x v="1"/>
    <n v="502867"/>
    <s v="No"/>
    <x v="1"/>
  </r>
  <r>
    <x v="13"/>
    <s v="News Reporter"/>
    <x v="0"/>
    <n v="1680"/>
    <n v="41"/>
    <n v="59"/>
    <x v="1"/>
    <n v="431836"/>
    <s v="No"/>
    <x v="5"/>
  </r>
  <r>
    <x v="14"/>
    <s v="Receptionist"/>
    <x v="7"/>
    <n v="1903"/>
    <n v="40"/>
    <n v="60"/>
    <x v="4"/>
    <n v="564160"/>
    <s v="No"/>
    <x v="8"/>
  </r>
  <r>
    <x v="15"/>
    <s v="Receptionist"/>
    <x v="7"/>
    <n v="983"/>
    <n v="41"/>
    <n v="59"/>
    <x v="3"/>
    <n v="255627"/>
    <s v="No"/>
    <x v="6"/>
  </r>
  <r>
    <x v="16"/>
    <s v="Library Assistant"/>
    <x v="10"/>
    <n v="4242"/>
    <n v="48"/>
    <n v="52"/>
    <x v="5"/>
    <n v="246774"/>
    <s v="No"/>
    <x v="9"/>
  </r>
  <r>
    <x v="17"/>
    <s v="Billing Clerk"/>
    <x v="3"/>
    <n v="3635"/>
    <n v="50"/>
    <n v="50"/>
    <x v="0"/>
    <n v="584947"/>
    <s v="No"/>
    <x v="10"/>
  </r>
  <r>
    <x v="18"/>
    <s v="Retail Cashier"/>
    <x v="11"/>
    <n v="4048"/>
    <n v="81"/>
    <n v="19"/>
    <x v="3"/>
    <n v="444904"/>
    <s v="Yes"/>
    <x v="9"/>
  </r>
  <r>
    <x v="19"/>
    <s v="Customer Support Rep"/>
    <x v="12"/>
    <n v="968"/>
    <n v="55"/>
    <n v="45"/>
    <x v="5"/>
    <n v="538149"/>
    <s v="Yes"/>
    <x v="3"/>
  </r>
  <r>
    <x v="20"/>
    <s v="Warehouse Assistant"/>
    <x v="13"/>
    <n v="1070"/>
    <n v="53"/>
    <n v="47"/>
    <x v="2"/>
    <n v="327303"/>
    <s v="Yes"/>
    <x v="2"/>
  </r>
  <r>
    <x v="21"/>
    <s v="Billing Clerk"/>
    <x v="3"/>
    <n v="3573"/>
    <n v="85"/>
    <n v="15"/>
    <x v="1"/>
    <n v="461476"/>
    <s v="Yes"/>
    <x v="1"/>
  </r>
  <r>
    <x v="22"/>
    <s v="Library Assistant"/>
    <x v="10"/>
    <n v="1220"/>
    <n v="53"/>
    <n v="47"/>
    <x v="2"/>
    <n v="308857"/>
    <s v="Yes"/>
    <x v="4"/>
  </r>
  <r>
    <x v="23"/>
    <s v="Data Entry Clerk"/>
    <x v="14"/>
    <n v="4296"/>
    <n v="66"/>
    <n v="34"/>
    <x v="0"/>
    <n v="282038"/>
    <s v="Yes"/>
    <x v="11"/>
  </r>
  <r>
    <x v="24"/>
    <s v="Warehouse Assistant"/>
    <x v="13"/>
    <n v="1228"/>
    <n v="71"/>
    <n v="29"/>
    <x v="2"/>
    <n v="411608"/>
    <s v="Yes"/>
    <x v="12"/>
  </r>
  <r>
    <x v="25"/>
    <s v="Security Guard"/>
    <x v="15"/>
    <n v="3464"/>
    <n v="73"/>
    <n v="27"/>
    <x v="5"/>
    <n v="337291"/>
    <s v="Yes"/>
    <x v="6"/>
  </r>
  <r>
    <x v="26"/>
    <s v="News Reporter"/>
    <x v="0"/>
    <n v="4836"/>
    <n v="77"/>
    <n v="23"/>
    <x v="0"/>
    <n v="471039"/>
    <s v="Yes"/>
    <x v="13"/>
  </r>
  <r>
    <x v="27"/>
    <s v="Travel Agent"/>
    <x v="5"/>
    <n v="952"/>
    <n v="48"/>
    <n v="52"/>
    <x v="2"/>
    <n v="191502"/>
    <s v="No"/>
    <x v="3"/>
  </r>
  <r>
    <x v="28"/>
    <s v="Billing Clerk"/>
    <x v="3"/>
    <n v="2029"/>
    <n v="76"/>
    <n v="24"/>
    <x v="3"/>
    <n v="180935"/>
    <s v="Yes"/>
    <x v="2"/>
  </r>
  <r>
    <x v="29"/>
    <s v="Help Desk Technician"/>
    <x v="1"/>
    <n v="739"/>
    <n v="73"/>
    <n v="27"/>
    <x v="0"/>
    <n v="398302"/>
    <s v="Yes"/>
    <x v="2"/>
  </r>
  <r>
    <x v="30"/>
    <s v="Billing Clerk"/>
    <x v="3"/>
    <n v="2526"/>
    <n v="51"/>
    <n v="49"/>
    <x v="4"/>
    <n v="198325"/>
    <s v="Yes"/>
    <x v="14"/>
  </r>
  <r>
    <x v="31"/>
    <s v="Clerical Assistant"/>
    <x v="4"/>
    <n v="1231"/>
    <n v="54"/>
    <n v="46"/>
    <x v="5"/>
    <n v="338700"/>
    <s v="Yes"/>
    <x v="14"/>
  </r>
  <r>
    <x v="32"/>
    <s v="News Reporter"/>
    <x v="0"/>
    <n v="4227"/>
    <n v="81"/>
    <n v="19"/>
    <x v="0"/>
    <n v="181966"/>
    <s v="Yes"/>
    <x v="11"/>
  </r>
  <r>
    <x v="33"/>
    <s v="Data Entry Clerk"/>
    <x v="14"/>
    <n v="1203"/>
    <n v="69"/>
    <n v="31"/>
    <x v="4"/>
    <n v="385025"/>
    <s v="Yes"/>
    <x v="8"/>
  </r>
  <r>
    <x v="34"/>
    <s v="Taxi Driver"/>
    <x v="6"/>
    <n v="1966"/>
    <n v="47"/>
    <n v="53"/>
    <x v="2"/>
    <n v="522908"/>
    <s v="No"/>
    <x v="4"/>
  </r>
  <r>
    <x v="35"/>
    <s v="Receptionist"/>
    <x v="7"/>
    <n v="924"/>
    <n v="80"/>
    <n v="20"/>
    <x v="2"/>
    <n v="531508"/>
    <s v="Yes"/>
    <x v="10"/>
  </r>
  <r>
    <x v="36"/>
    <s v="Help Desk Technician"/>
    <x v="1"/>
    <n v="3245"/>
    <n v="77"/>
    <n v="23"/>
    <x v="2"/>
    <n v="326006"/>
    <s v="Yes"/>
    <x v="7"/>
  </r>
  <r>
    <x v="37"/>
    <s v="Travel Agent"/>
    <x v="5"/>
    <n v="3536"/>
    <n v="41"/>
    <n v="59"/>
    <x v="3"/>
    <n v="478851"/>
    <s v="No"/>
    <x v="7"/>
  </r>
  <r>
    <x v="38"/>
    <s v="Warehouse Assistant"/>
    <x v="13"/>
    <n v="3463"/>
    <n v="74"/>
    <n v="26"/>
    <x v="1"/>
    <n v="186074"/>
    <s v="Yes"/>
    <x v="13"/>
  </r>
  <r>
    <x v="39"/>
    <s v="Cleaner"/>
    <x v="16"/>
    <n v="4293"/>
    <n v="60"/>
    <n v="40"/>
    <x v="2"/>
    <n v="597396"/>
    <s v="Yes"/>
    <x v="3"/>
  </r>
  <r>
    <x v="40"/>
    <s v="Machine Operator"/>
    <x v="9"/>
    <n v="4547"/>
    <n v="61"/>
    <n v="39"/>
    <x v="3"/>
    <n v="479711"/>
    <s v="Yes"/>
    <x v="7"/>
  </r>
  <r>
    <x v="41"/>
    <s v="Library Assistant"/>
    <x v="10"/>
    <n v="2369"/>
    <n v="53"/>
    <n v="47"/>
    <x v="0"/>
    <n v="412795"/>
    <s v="Yes"/>
    <x v="4"/>
  </r>
  <r>
    <x v="42"/>
    <s v="News Reporter"/>
    <x v="0"/>
    <n v="3254"/>
    <n v="74"/>
    <n v="26"/>
    <x v="1"/>
    <n v="595837"/>
    <s v="Yes"/>
    <x v="9"/>
  </r>
  <r>
    <x v="43"/>
    <s v="Cleaner"/>
    <x v="16"/>
    <n v="1517"/>
    <n v="44"/>
    <n v="56"/>
    <x v="0"/>
    <n v="545401"/>
    <s v="No"/>
    <x v="9"/>
  </r>
  <r>
    <x v="44"/>
    <s v="Cleaner"/>
    <x v="16"/>
    <n v="794"/>
    <n v="72"/>
    <n v="28"/>
    <x v="1"/>
    <n v="221969"/>
    <s v="Yes"/>
    <x v="0"/>
  </r>
  <r>
    <x v="45"/>
    <s v="Parking Attendant"/>
    <x v="6"/>
    <n v="2286"/>
    <n v="83"/>
    <n v="17"/>
    <x v="5"/>
    <n v="202741"/>
    <s v="Yes"/>
    <x v="4"/>
  </r>
  <r>
    <x v="46"/>
    <s v="Machine Operator"/>
    <x v="9"/>
    <n v="1757"/>
    <n v="62"/>
    <n v="38"/>
    <x v="2"/>
    <n v="532522"/>
    <s v="Yes"/>
    <x v="6"/>
  </r>
  <r>
    <x v="47"/>
    <s v="Retail Cashier"/>
    <x v="11"/>
    <n v="1491"/>
    <n v="83"/>
    <n v="17"/>
    <x v="4"/>
    <n v="505769"/>
    <s v="Yes"/>
    <x v="1"/>
  </r>
  <r>
    <x v="48"/>
    <s v="Cleaner"/>
    <x v="16"/>
    <n v="699"/>
    <n v="69"/>
    <n v="31"/>
    <x v="2"/>
    <n v="556300"/>
    <s v="Yes"/>
    <x v="5"/>
  </r>
  <r>
    <x v="49"/>
    <s v="Food Delivery Executive"/>
    <x v="13"/>
    <n v="1787"/>
    <n v="48"/>
    <n v="52"/>
    <x v="4"/>
    <n v="221908"/>
    <s v="No"/>
    <x v="1"/>
  </r>
  <r>
    <x v="50"/>
    <s v="Library Assistant"/>
    <x v="10"/>
    <n v="443"/>
    <n v="62"/>
    <n v="38"/>
    <x v="4"/>
    <n v="505574"/>
    <s v="Yes"/>
    <x v="8"/>
  </r>
  <r>
    <x v="51"/>
    <s v="Receptionist"/>
    <x v="7"/>
    <n v="1319"/>
    <n v="55"/>
    <n v="45"/>
    <x v="4"/>
    <n v="325670"/>
    <s v="Yes"/>
    <x v="3"/>
  </r>
  <r>
    <x v="52"/>
    <s v="Call Center Agent"/>
    <x v="17"/>
    <n v="675"/>
    <n v="77"/>
    <n v="23"/>
    <x v="5"/>
    <n v="231603"/>
    <s v="Yes"/>
    <x v="12"/>
  </r>
  <r>
    <x v="53"/>
    <s v="Food Delivery Executive"/>
    <x v="13"/>
    <n v="1867"/>
    <n v="43"/>
    <n v="57"/>
    <x v="0"/>
    <n v="453052"/>
    <s v="No"/>
    <x v="3"/>
  </r>
  <r>
    <x v="54"/>
    <s v="Travel Agent"/>
    <x v="5"/>
    <n v="2052"/>
    <n v="73"/>
    <n v="27"/>
    <x v="4"/>
    <n v="374837"/>
    <s v="Yes"/>
    <x v="6"/>
  </r>
  <r>
    <x v="55"/>
    <s v="Bank Clerk"/>
    <x v="8"/>
    <n v="865"/>
    <n v="81"/>
    <n v="19"/>
    <x v="3"/>
    <n v="241316"/>
    <s v="Yes"/>
    <x v="0"/>
  </r>
  <r>
    <x v="56"/>
    <s v="Parking Attendant"/>
    <x v="6"/>
    <n v="4098"/>
    <n v="84"/>
    <n v="16"/>
    <x v="4"/>
    <n v="528784"/>
    <s v="Yes"/>
    <x v="7"/>
  </r>
  <r>
    <x v="57"/>
    <s v="Billing Clerk"/>
    <x v="3"/>
    <n v="654"/>
    <n v="46"/>
    <n v="54"/>
    <x v="0"/>
    <n v="549075"/>
    <s v="No"/>
    <x v="12"/>
  </r>
  <r>
    <x v="58"/>
    <s v="Help Desk Technician"/>
    <x v="1"/>
    <n v="1639"/>
    <n v="53"/>
    <n v="47"/>
    <x v="3"/>
    <n v="581544"/>
    <s v="Yes"/>
    <x v="2"/>
  </r>
  <r>
    <x v="59"/>
    <s v="Help Desk Technician"/>
    <x v="1"/>
    <n v="993"/>
    <n v="83"/>
    <n v="17"/>
    <x v="2"/>
    <n v="561263"/>
    <s v="Yes"/>
    <x v="11"/>
  </r>
  <r>
    <x v="60"/>
    <s v="Bank Clerk"/>
    <x v="8"/>
    <n v="591"/>
    <n v="51"/>
    <n v="49"/>
    <x v="5"/>
    <n v="371998"/>
    <s v="Yes"/>
    <x v="2"/>
  </r>
  <r>
    <x v="61"/>
    <s v="Warehouse Assistant"/>
    <x v="13"/>
    <n v="2924"/>
    <n v="63"/>
    <n v="37"/>
    <x v="2"/>
    <n v="413519"/>
    <s v="Yes"/>
    <x v="8"/>
  </r>
  <r>
    <x v="62"/>
    <s v="Help Desk Technician"/>
    <x v="1"/>
    <n v="2575"/>
    <n v="59"/>
    <n v="41"/>
    <x v="3"/>
    <n v="518268"/>
    <s v="Yes"/>
    <x v="13"/>
  </r>
  <r>
    <x v="63"/>
    <s v="Security Guard"/>
    <x v="15"/>
    <n v="2220"/>
    <n v="85"/>
    <n v="15"/>
    <x v="5"/>
    <n v="199998"/>
    <s v="Yes"/>
    <x v="6"/>
  </r>
  <r>
    <x v="64"/>
    <s v="News Reporter"/>
    <x v="0"/>
    <n v="2830"/>
    <n v="42"/>
    <n v="58"/>
    <x v="3"/>
    <n v="195422"/>
    <s v="No"/>
    <x v="8"/>
  </r>
  <r>
    <x v="65"/>
    <s v="Warehouse Assistant"/>
    <x v="13"/>
    <n v="3982"/>
    <n v="68"/>
    <n v="32"/>
    <x v="1"/>
    <n v="188264"/>
    <s v="Yes"/>
    <x v="12"/>
  </r>
  <r>
    <x v="66"/>
    <s v="Taxi Driver"/>
    <x v="6"/>
    <n v="4047"/>
    <n v="79"/>
    <n v="21"/>
    <x v="0"/>
    <n v="473103"/>
    <s v="Yes"/>
    <x v="14"/>
  </r>
  <r>
    <x v="67"/>
    <s v="Food Delivery Executive"/>
    <x v="13"/>
    <n v="2235"/>
    <n v="52"/>
    <n v="48"/>
    <x v="3"/>
    <n v="221854"/>
    <s v="Yes"/>
    <x v="0"/>
  </r>
  <r>
    <x v="68"/>
    <s v="Clerical Assistant"/>
    <x v="4"/>
    <n v="280"/>
    <n v="47"/>
    <n v="53"/>
    <x v="4"/>
    <n v="504143"/>
    <s v="No"/>
    <x v="7"/>
  </r>
  <r>
    <x v="69"/>
    <s v="Travel Agent"/>
    <x v="5"/>
    <n v="797"/>
    <n v="47"/>
    <n v="53"/>
    <x v="0"/>
    <n v="320713"/>
    <s v="No"/>
    <x v="10"/>
  </r>
  <r>
    <x v="70"/>
    <s v="News Reporter"/>
    <x v="0"/>
    <n v="2313"/>
    <n v="70"/>
    <n v="30"/>
    <x v="4"/>
    <n v="372339"/>
    <s v="Yes"/>
    <x v="0"/>
  </r>
  <r>
    <x v="71"/>
    <s v="Machine Operator"/>
    <x v="9"/>
    <n v="3868"/>
    <n v="63"/>
    <n v="37"/>
    <x v="2"/>
    <n v="470801"/>
    <s v="Yes"/>
    <x v="5"/>
  </r>
  <r>
    <x v="72"/>
    <s v="Parking Attendant"/>
    <x v="6"/>
    <n v="3954"/>
    <n v="44"/>
    <n v="56"/>
    <x v="4"/>
    <n v="216463"/>
    <s v="No"/>
    <x v="7"/>
  </r>
  <r>
    <x v="73"/>
    <s v="Warehouse Assistant"/>
    <x v="13"/>
    <n v="653"/>
    <n v="59"/>
    <n v="41"/>
    <x v="4"/>
    <n v="573462"/>
    <s v="Yes"/>
    <x v="1"/>
  </r>
  <r>
    <x v="74"/>
    <s v="Machine Operator"/>
    <x v="9"/>
    <n v="4653"/>
    <n v="82"/>
    <n v="18"/>
    <x v="0"/>
    <n v="231528"/>
    <s v="Yes"/>
    <x v="1"/>
  </r>
  <r>
    <x v="75"/>
    <s v="Technical Support Staff"/>
    <x v="2"/>
    <n v="721"/>
    <n v="55"/>
    <n v="45"/>
    <x v="4"/>
    <n v="265214"/>
    <s v="Yes"/>
    <x v="1"/>
  </r>
  <r>
    <x v="76"/>
    <s v="Parking Attendant"/>
    <x v="6"/>
    <n v="1388"/>
    <n v="65"/>
    <n v="35"/>
    <x v="1"/>
    <n v="527563"/>
    <s v="Yes"/>
    <x v="12"/>
  </r>
  <r>
    <x v="77"/>
    <s v="Library Assistant"/>
    <x v="10"/>
    <n v="2816"/>
    <n v="68"/>
    <n v="32"/>
    <x v="4"/>
    <n v="480101"/>
    <s v="Yes"/>
    <x v="3"/>
  </r>
  <r>
    <x v="78"/>
    <s v="Retail Cashier"/>
    <x v="11"/>
    <n v="1791"/>
    <n v="70"/>
    <n v="30"/>
    <x v="4"/>
    <n v="284477"/>
    <s v="Yes"/>
    <x v="12"/>
  </r>
  <r>
    <x v="79"/>
    <s v="Data Entry Clerk"/>
    <x v="14"/>
    <n v="1995"/>
    <n v="80"/>
    <n v="20"/>
    <x v="5"/>
    <n v="340847"/>
    <s v="Yes"/>
    <x v="4"/>
  </r>
  <r>
    <x v="80"/>
    <s v="Data Entry Clerk"/>
    <x v="14"/>
    <n v="4952"/>
    <n v="72"/>
    <n v="28"/>
    <x v="0"/>
    <n v="481354"/>
    <s v="Yes"/>
    <x v="7"/>
  </r>
  <r>
    <x v="81"/>
    <s v="Customer Support Rep"/>
    <x v="12"/>
    <n v="4126"/>
    <n v="43"/>
    <n v="57"/>
    <x v="4"/>
    <n v="307114"/>
    <s v="No"/>
    <x v="7"/>
  </r>
  <r>
    <x v="82"/>
    <s v="Parking Attendant"/>
    <x v="6"/>
    <n v="1598"/>
    <n v="54"/>
    <n v="46"/>
    <x v="3"/>
    <n v="337259"/>
    <s v="Yes"/>
    <x v="12"/>
  </r>
  <r>
    <x v="83"/>
    <s v="Machine Operator"/>
    <x v="9"/>
    <n v="935"/>
    <n v="63"/>
    <n v="37"/>
    <x v="4"/>
    <n v="429780"/>
    <s v="Yes"/>
    <x v="14"/>
  </r>
  <r>
    <x v="84"/>
    <s v="Technical Support Staff"/>
    <x v="2"/>
    <n v="3331"/>
    <n v="80"/>
    <n v="20"/>
    <x v="5"/>
    <n v="452384"/>
    <s v="Yes"/>
    <x v="3"/>
  </r>
  <r>
    <x v="85"/>
    <s v="Billing Clerk"/>
    <x v="3"/>
    <n v="337"/>
    <n v="69"/>
    <n v="31"/>
    <x v="0"/>
    <n v="483716"/>
    <s v="Yes"/>
    <x v="12"/>
  </r>
  <r>
    <x v="86"/>
    <s v="Call Center Agent"/>
    <x v="17"/>
    <n v="4506"/>
    <n v="51"/>
    <n v="49"/>
    <x v="5"/>
    <n v="402799"/>
    <s v="Yes"/>
    <x v="9"/>
  </r>
  <r>
    <x v="87"/>
    <s v="Security Guard"/>
    <x v="15"/>
    <n v="647"/>
    <n v="70"/>
    <n v="30"/>
    <x v="1"/>
    <n v="481043"/>
    <s v="Yes"/>
    <x v="11"/>
  </r>
  <r>
    <x v="88"/>
    <s v="Data Entry Clerk"/>
    <x v="14"/>
    <n v="4172"/>
    <n v="57"/>
    <n v="43"/>
    <x v="3"/>
    <n v="445832"/>
    <s v="Yes"/>
    <x v="6"/>
  </r>
  <r>
    <x v="89"/>
    <s v="Security Guard"/>
    <x v="15"/>
    <n v="2276"/>
    <n v="47"/>
    <n v="53"/>
    <x v="1"/>
    <n v="403286"/>
    <s v="No"/>
    <x v="8"/>
  </r>
  <r>
    <x v="90"/>
    <s v="News Reporter"/>
    <x v="0"/>
    <n v="3635"/>
    <n v="47"/>
    <n v="53"/>
    <x v="3"/>
    <n v="354459"/>
    <s v="No"/>
    <x v="11"/>
  </r>
  <r>
    <x v="91"/>
    <s v="Cleaner"/>
    <x v="16"/>
    <n v="1727"/>
    <n v="41"/>
    <n v="59"/>
    <x v="2"/>
    <n v="340152"/>
    <s v="No"/>
    <x v="14"/>
  </r>
  <r>
    <x v="92"/>
    <s v="Library Assistant"/>
    <x v="10"/>
    <n v="1328"/>
    <n v="47"/>
    <n v="53"/>
    <x v="2"/>
    <n v="491160"/>
    <s v="No"/>
    <x v="12"/>
  </r>
  <r>
    <x v="93"/>
    <s v="Food Delivery Executive"/>
    <x v="13"/>
    <n v="1779"/>
    <n v="71"/>
    <n v="29"/>
    <x v="4"/>
    <n v="251799"/>
    <s v="Yes"/>
    <x v="1"/>
  </r>
  <r>
    <x v="94"/>
    <s v="Bank Clerk"/>
    <x v="8"/>
    <n v="4610"/>
    <n v="42"/>
    <n v="58"/>
    <x v="5"/>
    <n v="355204"/>
    <s v="No"/>
    <x v="13"/>
  </r>
  <r>
    <x v="95"/>
    <s v="Receptionist"/>
    <x v="7"/>
    <n v="4890"/>
    <n v="42"/>
    <n v="58"/>
    <x v="3"/>
    <n v="381321"/>
    <s v="No"/>
    <x v="14"/>
  </r>
  <r>
    <x v="96"/>
    <s v="Data Entry Clerk"/>
    <x v="14"/>
    <n v="4252"/>
    <n v="46"/>
    <n v="54"/>
    <x v="0"/>
    <n v="563511"/>
    <s v="No"/>
    <x v="8"/>
  </r>
  <r>
    <x v="97"/>
    <s v="Parking Attendant"/>
    <x v="6"/>
    <n v="3931"/>
    <n v="47"/>
    <n v="53"/>
    <x v="0"/>
    <n v="397262"/>
    <s v="No"/>
    <x v="5"/>
  </r>
  <r>
    <x v="98"/>
    <s v="Customer Support Rep"/>
    <x v="12"/>
    <n v="854"/>
    <n v="73"/>
    <n v="27"/>
    <x v="5"/>
    <n v="186020"/>
    <s v="Yes"/>
    <x v="7"/>
  </r>
  <r>
    <x v="99"/>
    <s v="Bank Clerk"/>
    <x v="8"/>
    <n v="4967"/>
    <n v="52"/>
    <n v="48"/>
    <x v="0"/>
    <n v="247169"/>
    <s v="Yes"/>
    <x v="9"/>
  </r>
  <r>
    <x v="100"/>
    <s v="Cleaner"/>
    <x v="16"/>
    <n v="2522"/>
    <n v="80"/>
    <n v="20"/>
    <x v="2"/>
    <n v="197758"/>
    <s v="Yes"/>
    <x v="3"/>
  </r>
  <r>
    <x v="101"/>
    <s v="Receptionist"/>
    <x v="7"/>
    <n v="4455"/>
    <n v="52"/>
    <n v="48"/>
    <x v="2"/>
    <n v="332858"/>
    <s v="Yes"/>
    <x v="5"/>
  </r>
  <r>
    <x v="102"/>
    <s v="News Reporter"/>
    <x v="0"/>
    <n v="4992"/>
    <n v="60"/>
    <n v="40"/>
    <x v="4"/>
    <n v="587588"/>
    <s v="Yes"/>
    <x v="10"/>
  </r>
  <r>
    <x v="103"/>
    <s v="Food Delivery Executive"/>
    <x v="13"/>
    <n v="233"/>
    <n v="63"/>
    <n v="37"/>
    <x v="3"/>
    <n v="495310"/>
    <s v="Yes"/>
    <x v="3"/>
  </r>
  <r>
    <x v="104"/>
    <s v="Cleaner"/>
    <x v="16"/>
    <n v="1105"/>
    <n v="73"/>
    <n v="27"/>
    <x v="4"/>
    <n v="297206"/>
    <s v="Yes"/>
    <x v="13"/>
  </r>
  <r>
    <x v="105"/>
    <s v="Technical Support Staff"/>
    <x v="2"/>
    <n v="3216"/>
    <n v="43"/>
    <n v="57"/>
    <x v="2"/>
    <n v="272645"/>
    <s v="No"/>
    <x v="3"/>
  </r>
  <r>
    <x v="106"/>
    <s v="Technical Support Staff"/>
    <x v="2"/>
    <n v="4408"/>
    <n v="45"/>
    <n v="55"/>
    <x v="5"/>
    <n v="596920"/>
    <s v="No"/>
    <x v="8"/>
  </r>
  <r>
    <x v="107"/>
    <s v="Bank Clerk"/>
    <x v="8"/>
    <n v="496"/>
    <n v="49"/>
    <n v="51"/>
    <x v="2"/>
    <n v="576667"/>
    <s v="No"/>
    <x v="11"/>
  </r>
  <r>
    <x v="108"/>
    <s v="Food Delivery Executive"/>
    <x v="13"/>
    <n v="525"/>
    <n v="64"/>
    <n v="36"/>
    <x v="3"/>
    <n v="422436"/>
    <s v="Yes"/>
    <x v="11"/>
  </r>
  <r>
    <x v="109"/>
    <s v="Travel Agent"/>
    <x v="5"/>
    <n v="4031"/>
    <n v="82"/>
    <n v="18"/>
    <x v="0"/>
    <n v="437539"/>
    <s v="Yes"/>
    <x v="8"/>
  </r>
  <r>
    <x v="110"/>
    <s v="Help Desk Technician"/>
    <x v="1"/>
    <n v="840"/>
    <n v="72"/>
    <n v="28"/>
    <x v="2"/>
    <n v="376408"/>
    <s v="Yes"/>
    <x v="1"/>
  </r>
  <r>
    <x v="111"/>
    <s v="Parking Attendant"/>
    <x v="6"/>
    <n v="2668"/>
    <n v="72"/>
    <n v="28"/>
    <x v="1"/>
    <n v="482070"/>
    <s v="Yes"/>
    <x v="2"/>
  </r>
  <r>
    <x v="112"/>
    <s v="Food Delivery Executive"/>
    <x v="13"/>
    <n v="2243"/>
    <n v="59"/>
    <n v="41"/>
    <x v="5"/>
    <n v="189999"/>
    <s v="Yes"/>
    <x v="12"/>
  </r>
  <r>
    <x v="113"/>
    <s v="Machine Operator"/>
    <x v="9"/>
    <n v="324"/>
    <n v="63"/>
    <n v="37"/>
    <x v="1"/>
    <n v="511479"/>
    <s v="Yes"/>
    <x v="10"/>
  </r>
  <r>
    <x v="114"/>
    <s v="Library Assistant"/>
    <x v="10"/>
    <n v="4476"/>
    <n v="74"/>
    <n v="26"/>
    <x v="1"/>
    <n v="293631"/>
    <s v="Yes"/>
    <x v="2"/>
  </r>
  <r>
    <x v="115"/>
    <s v="Receptionist"/>
    <x v="7"/>
    <n v="2428"/>
    <n v="58"/>
    <n v="42"/>
    <x v="1"/>
    <n v="481960"/>
    <s v="Yes"/>
    <x v="11"/>
  </r>
  <r>
    <x v="116"/>
    <s v="Food Delivery Executive"/>
    <x v="13"/>
    <n v="4264"/>
    <n v="56"/>
    <n v="44"/>
    <x v="1"/>
    <n v="380509"/>
    <s v="Yes"/>
    <x v="8"/>
  </r>
  <r>
    <x v="117"/>
    <s v="Clerical Assistant"/>
    <x v="4"/>
    <n v="597"/>
    <n v="70"/>
    <n v="30"/>
    <x v="4"/>
    <n v="558722"/>
    <s v="Yes"/>
    <x v="9"/>
  </r>
  <r>
    <x v="118"/>
    <s v="Travel Agent"/>
    <x v="5"/>
    <n v="4236"/>
    <n v="59"/>
    <n v="41"/>
    <x v="0"/>
    <n v="192860"/>
    <s v="Yes"/>
    <x v="12"/>
  </r>
  <r>
    <x v="119"/>
    <s v="Security Guard"/>
    <x v="15"/>
    <n v="3571"/>
    <n v="81"/>
    <n v="19"/>
    <x v="0"/>
    <n v="216647"/>
    <s v="Yes"/>
    <x v="12"/>
  </r>
  <r>
    <x v="120"/>
    <s v="Clerical Assistant"/>
    <x v="4"/>
    <n v="4824"/>
    <n v="45"/>
    <n v="55"/>
    <x v="0"/>
    <n v="498900"/>
    <s v="No"/>
    <x v="14"/>
  </r>
  <r>
    <x v="121"/>
    <s v="Taxi Driver"/>
    <x v="6"/>
    <n v="4058"/>
    <n v="62"/>
    <n v="38"/>
    <x v="3"/>
    <n v="361351"/>
    <s v="Yes"/>
    <x v="10"/>
  </r>
  <r>
    <x v="122"/>
    <s v="Cleaner"/>
    <x v="16"/>
    <n v="4479"/>
    <n v="67"/>
    <n v="33"/>
    <x v="5"/>
    <n v="191978"/>
    <s v="Yes"/>
    <x v="8"/>
  </r>
  <r>
    <x v="123"/>
    <s v="Parking Attendant"/>
    <x v="6"/>
    <n v="3218"/>
    <n v="85"/>
    <n v="15"/>
    <x v="5"/>
    <n v="530366"/>
    <s v="Yes"/>
    <x v="11"/>
  </r>
  <r>
    <x v="124"/>
    <s v="Data Entry Clerk"/>
    <x v="14"/>
    <n v="2846"/>
    <n v="68"/>
    <n v="32"/>
    <x v="3"/>
    <n v="264583"/>
    <s v="Yes"/>
    <x v="8"/>
  </r>
  <r>
    <x v="125"/>
    <s v="Parking Attendant"/>
    <x v="6"/>
    <n v="1087"/>
    <n v="63"/>
    <n v="37"/>
    <x v="2"/>
    <n v="381669"/>
    <s v="Yes"/>
    <x v="8"/>
  </r>
  <r>
    <x v="126"/>
    <s v="Warehouse Assistant"/>
    <x v="13"/>
    <n v="2876"/>
    <n v="61"/>
    <n v="39"/>
    <x v="1"/>
    <n v="354674"/>
    <s v="Yes"/>
    <x v="14"/>
  </r>
  <r>
    <x v="127"/>
    <s v="Technical Support Staff"/>
    <x v="2"/>
    <n v="3680"/>
    <n v="53"/>
    <n v="47"/>
    <x v="2"/>
    <n v="221051"/>
    <s v="Yes"/>
    <x v="2"/>
  </r>
  <r>
    <x v="128"/>
    <s v="Data Entry Clerk"/>
    <x v="14"/>
    <n v="1583"/>
    <n v="83"/>
    <n v="17"/>
    <x v="0"/>
    <n v="420051"/>
    <s v="Yes"/>
    <x v="10"/>
  </r>
  <r>
    <x v="129"/>
    <s v="Cleaner"/>
    <x v="16"/>
    <n v="1617"/>
    <n v="73"/>
    <n v="27"/>
    <x v="0"/>
    <n v="511997"/>
    <s v="Yes"/>
    <x v="12"/>
  </r>
  <r>
    <x v="130"/>
    <s v="Customer Support Rep"/>
    <x v="12"/>
    <n v="1011"/>
    <n v="56"/>
    <n v="44"/>
    <x v="3"/>
    <n v="379316"/>
    <s v="Yes"/>
    <x v="0"/>
  </r>
  <r>
    <x v="131"/>
    <s v="Call Center Agent"/>
    <x v="17"/>
    <n v="3582"/>
    <n v="82"/>
    <n v="18"/>
    <x v="2"/>
    <n v="534944"/>
    <s v="Yes"/>
    <x v="14"/>
  </r>
  <r>
    <x v="132"/>
    <s v="Clerical Assistant"/>
    <x v="4"/>
    <n v="4659"/>
    <n v="83"/>
    <n v="17"/>
    <x v="5"/>
    <n v="273106"/>
    <s v="Yes"/>
    <x v="5"/>
  </r>
  <r>
    <x v="133"/>
    <s v="Travel Agent"/>
    <x v="5"/>
    <n v="4463"/>
    <n v="50"/>
    <n v="50"/>
    <x v="5"/>
    <n v="529551"/>
    <s v="No"/>
    <x v="13"/>
  </r>
  <r>
    <x v="134"/>
    <s v="Parking Attendant"/>
    <x v="6"/>
    <n v="2067"/>
    <n v="66"/>
    <n v="34"/>
    <x v="4"/>
    <n v="557351"/>
    <s v="Yes"/>
    <x v="13"/>
  </r>
  <r>
    <x v="135"/>
    <s v="Retail Cashier"/>
    <x v="11"/>
    <n v="2766"/>
    <n v="77"/>
    <n v="23"/>
    <x v="0"/>
    <n v="241903"/>
    <s v="Yes"/>
    <x v="0"/>
  </r>
  <r>
    <x v="136"/>
    <s v="Cleaner"/>
    <x v="16"/>
    <n v="1013"/>
    <n v="67"/>
    <n v="33"/>
    <x v="3"/>
    <n v="286055"/>
    <s v="Yes"/>
    <x v="0"/>
  </r>
  <r>
    <x v="137"/>
    <s v="Taxi Driver"/>
    <x v="6"/>
    <n v="1161"/>
    <n v="49"/>
    <n v="51"/>
    <x v="2"/>
    <n v="403482"/>
    <s v="No"/>
    <x v="11"/>
  </r>
  <r>
    <x v="138"/>
    <s v="Technical Support Staff"/>
    <x v="2"/>
    <n v="526"/>
    <n v="85"/>
    <n v="15"/>
    <x v="1"/>
    <n v="448055"/>
    <s v="Yes"/>
    <x v="8"/>
  </r>
  <r>
    <x v="139"/>
    <s v="Bank Clerk"/>
    <x v="8"/>
    <n v="4415"/>
    <n v="47"/>
    <n v="53"/>
    <x v="1"/>
    <n v="250238"/>
    <s v="No"/>
    <x v="8"/>
  </r>
  <r>
    <x v="140"/>
    <s v="Help Desk Technician"/>
    <x v="1"/>
    <n v="1547"/>
    <n v="67"/>
    <n v="33"/>
    <x v="0"/>
    <n v="386792"/>
    <s v="Yes"/>
    <x v="8"/>
  </r>
  <r>
    <x v="141"/>
    <s v="Parking Attendant"/>
    <x v="6"/>
    <n v="4270"/>
    <n v="45"/>
    <n v="55"/>
    <x v="0"/>
    <n v="204915"/>
    <s v="No"/>
    <x v="11"/>
  </r>
  <r>
    <x v="142"/>
    <s v="Taxi Driver"/>
    <x v="6"/>
    <n v="590"/>
    <n v="40"/>
    <n v="60"/>
    <x v="0"/>
    <n v="485856"/>
    <s v="No"/>
    <x v="1"/>
  </r>
  <r>
    <x v="143"/>
    <s v="Billing Clerk"/>
    <x v="3"/>
    <n v="2614"/>
    <n v="84"/>
    <n v="16"/>
    <x v="4"/>
    <n v="359254"/>
    <s v="Yes"/>
    <x v="9"/>
  </r>
  <r>
    <x v="144"/>
    <s v="News Reporter"/>
    <x v="0"/>
    <n v="3375"/>
    <n v="62"/>
    <n v="38"/>
    <x v="1"/>
    <n v="274706"/>
    <s v="Yes"/>
    <x v="14"/>
  </r>
  <r>
    <x v="145"/>
    <s v="Machine Operator"/>
    <x v="9"/>
    <n v="2094"/>
    <n v="57"/>
    <n v="43"/>
    <x v="1"/>
    <n v="536677"/>
    <s v="Yes"/>
    <x v="8"/>
  </r>
  <r>
    <x v="146"/>
    <s v="Cleaner"/>
    <x v="16"/>
    <n v="2740"/>
    <n v="76"/>
    <n v="24"/>
    <x v="3"/>
    <n v="321610"/>
    <s v="Yes"/>
    <x v="11"/>
  </r>
  <r>
    <x v="147"/>
    <s v="Travel Agent"/>
    <x v="5"/>
    <n v="1216"/>
    <n v="49"/>
    <n v="51"/>
    <x v="5"/>
    <n v="240668"/>
    <s v="No"/>
    <x v="13"/>
  </r>
  <r>
    <x v="148"/>
    <s v="Retail Cashier"/>
    <x v="11"/>
    <n v="4437"/>
    <n v="42"/>
    <n v="58"/>
    <x v="0"/>
    <n v="259121"/>
    <s v="No"/>
    <x v="3"/>
  </r>
  <r>
    <x v="149"/>
    <s v="Customer Support Rep"/>
    <x v="12"/>
    <n v="493"/>
    <n v="76"/>
    <n v="24"/>
    <x v="1"/>
    <n v="185014"/>
    <s v="Yes"/>
    <x v="10"/>
  </r>
  <r>
    <x v="150"/>
    <s v="Retail Cashier"/>
    <x v="11"/>
    <n v="3869"/>
    <n v="66"/>
    <n v="34"/>
    <x v="5"/>
    <n v="381930"/>
    <s v="Yes"/>
    <x v="9"/>
  </r>
  <r>
    <x v="151"/>
    <s v="Taxi Driver"/>
    <x v="6"/>
    <n v="4118"/>
    <n v="57"/>
    <n v="43"/>
    <x v="0"/>
    <n v="273051"/>
    <s v="Yes"/>
    <x v="0"/>
  </r>
  <r>
    <x v="152"/>
    <s v="Travel Agent"/>
    <x v="5"/>
    <n v="3176"/>
    <n v="43"/>
    <n v="57"/>
    <x v="0"/>
    <n v="531564"/>
    <s v="No"/>
    <x v="5"/>
  </r>
  <r>
    <x v="153"/>
    <s v="Cleaner"/>
    <x v="16"/>
    <n v="3594"/>
    <n v="45"/>
    <n v="55"/>
    <x v="1"/>
    <n v="214445"/>
    <s v="No"/>
    <x v="7"/>
  </r>
  <r>
    <x v="154"/>
    <s v="Clerical Assistant"/>
    <x v="4"/>
    <n v="1833"/>
    <n v="48"/>
    <n v="52"/>
    <x v="3"/>
    <n v="526039"/>
    <s v="No"/>
    <x v="13"/>
  </r>
  <r>
    <x v="155"/>
    <s v="Parking Attendant"/>
    <x v="6"/>
    <n v="3907"/>
    <n v="76"/>
    <n v="24"/>
    <x v="3"/>
    <n v="291451"/>
    <s v="Yes"/>
    <x v="0"/>
  </r>
  <r>
    <x v="156"/>
    <s v="Security Guard"/>
    <x v="15"/>
    <n v="2994"/>
    <n v="82"/>
    <n v="18"/>
    <x v="3"/>
    <n v="410359"/>
    <s v="Yes"/>
    <x v="12"/>
  </r>
  <r>
    <x v="157"/>
    <s v="Warehouse Assistant"/>
    <x v="13"/>
    <n v="2146"/>
    <n v="64"/>
    <n v="36"/>
    <x v="2"/>
    <n v="318026"/>
    <s v="Yes"/>
    <x v="7"/>
  </r>
  <r>
    <x v="158"/>
    <s v="Library Assistant"/>
    <x v="10"/>
    <n v="2288"/>
    <n v="52"/>
    <n v="48"/>
    <x v="3"/>
    <n v="549911"/>
    <s v="Yes"/>
    <x v="7"/>
  </r>
  <r>
    <x v="159"/>
    <s v="Machine Operator"/>
    <x v="9"/>
    <n v="2716"/>
    <n v="52"/>
    <n v="48"/>
    <x v="3"/>
    <n v="216371"/>
    <s v="Yes"/>
    <x v="2"/>
  </r>
  <r>
    <x v="160"/>
    <s v="Machine Operator"/>
    <x v="9"/>
    <n v="3988"/>
    <n v="64"/>
    <n v="36"/>
    <x v="0"/>
    <n v="412480"/>
    <s v="Yes"/>
    <x v="0"/>
  </r>
  <r>
    <x v="161"/>
    <s v="Receptionist"/>
    <x v="7"/>
    <n v="1329"/>
    <n v="76"/>
    <n v="24"/>
    <x v="5"/>
    <n v="318993"/>
    <s v="Yes"/>
    <x v="9"/>
  </r>
  <r>
    <x v="162"/>
    <s v="Machine Operator"/>
    <x v="9"/>
    <n v="888"/>
    <n v="66"/>
    <n v="34"/>
    <x v="3"/>
    <n v="250303"/>
    <s v="Yes"/>
    <x v="1"/>
  </r>
  <r>
    <x v="163"/>
    <s v="Call Center Agent"/>
    <x v="17"/>
    <n v="4147"/>
    <n v="67"/>
    <n v="33"/>
    <x v="2"/>
    <n v="346284"/>
    <s v="Yes"/>
    <x v="0"/>
  </r>
  <r>
    <x v="164"/>
    <s v="Retail Cashier"/>
    <x v="11"/>
    <n v="3574"/>
    <n v="45"/>
    <n v="55"/>
    <x v="4"/>
    <n v="340901"/>
    <s v="No"/>
    <x v="5"/>
  </r>
  <r>
    <x v="165"/>
    <s v="Clerical Assistant"/>
    <x v="4"/>
    <n v="3827"/>
    <n v="50"/>
    <n v="50"/>
    <x v="5"/>
    <n v="423302"/>
    <s v="No"/>
    <x v="5"/>
  </r>
  <r>
    <x v="166"/>
    <s v="Technical Support Staff"/>
    <x v="2"/>
    <n v="4325"/>
    <n v="67"/>
    <n v="33"/>
    <x v="4"/>
    <n v="473872"/>
    <s v="Yes"/>
    <x v="13"/>
  </r>
  <r>
    <x v="167"/>
    <s v="Customer Support Rep"/>
    <x v="12"/>
    <n v="452"/>
    <n v="59"/>
    <n v="41"/>
    <x v="5"/>
    <n v="218327"/>
    <s v="Yes"/>
    <x v="3"/>
  </r>
  <r>
    <x v="168"/>
    <s v="Taxi Driver"/>
    <x v="6"/>
    <n v="646"/>
    <n v="54"/>
    <n v="46"/>
    <x v="3"/>
    <n v="229304"/>
    <s v="Yes"/>
    <x v="7"/>
  </r>
  <r>
    <x v="169"/>
    <s v="Customer Support Rep"/>
    <x v="12"/>
    <n v="4829"/>
    <n v="74"/>
    <n v="26"/>
    <x v="3"/>
    <n v="535432"/>
    <s v="Yes"/>
    <x v="14"/>
  </r>
  <r>
    <x v="170"/>
    <s v="Taxi Driver"/>
    <x v="6"/>
    <n v="362"/>
    <n v="49"/>
    <n v="51"/>
    <x v="1"/>
    <n v="431841"/>
    <s v="No"/>
    <x v="9"/>
  </r>
  <r>
    <x v="171"/>
    <s v="Food Delivery Executive"/>
    <x v="13"/>
    <n v="627"/>
    <n v="47"/>
    <n v="53"/>
    <x v="4"/>
    <n v="504971"/>
    <s v="No"/>
    <x v="14"/>
  </r>
  <r>
    <x v="172"/>
    <s v="Food Delivery Executive"/>
    <x v="13"/>
    <n v="3992"/>
    <n v="67"/>
    <n v="33"/>
    <x v="3"/>
    <n v="530137"/>
    <s v="Yes"/>
    <x v="14"/>
  </r>
  <r>
    <x v="173"/>
    <s v="Library Assistant"/>
    <x v="10"/>
    <n v="2249"/>
    <n v="56"/>
    <n v="44"/>
    <x v="2"/>
    <n v="587719"/>
    <s v="Yes"/>
    <x v="9"/>
  </r>
  <r>
    <x v="174"/>
    <s v="Retail Cashier"/>
    <x v="11"/>
    <n v="1039"/>
    <n v="61"/>
    <n v="39"/>
    <x v="0"/>
    <n v="342667"/>
    <s v="Yes"/>
    <x v="7"/>
  </r>
  <r>
    <x v="175"/>
    <s v="Food Delivery Executive"/>
    <x v="13"/>
    <n v="353"/>
    <n v="44"/>
    <n v="56"/>
    <x v="4"/>
    <n v="221332"/>
    <s v="No"/>
    <x v="13"/>
  </r>
  <r>
    <x v="176"/>
    <s v="Technical Support Staff"/>
    <x v="2"/>
    <n v="849"/>
    <n v="46"/>
    <n v="54"/>
    <x v="3"/>
    <n v="485986"/>
    <s v="No"/>
    <x v="6"/>
  </r>
  <r>
    <x v="177"/>
    <s v="Clerical Assistant"/>
    <x v="4"/>
    <n v="307"/>
    <n v="84"/>
    <n v="16"/>
    <x v="0"/>
    <n v="273701"/>
    <s v="Yes"/>
    <x v="7"/>
  </r>
  <r>
    <x v="178"/>
    <s v="Taxi Driver"/>
    <x v="6"/>
    <n v="4959"/>
    <n v="50"/>
    <n v="50"/>
    <x v="5"/>
    <n v="294513"/>
    <s v="No"/>
    <x v="3"/>
  </r>
  <r>
    <x v="179"/>
    <s v="Warehouse Assistant"/>
    <x v="13"/>
    <n v="1530"/>
    <n v="49"/>
    <n v="51"/>
    <x v="4"/>
    <n v="383539"/>
    <s v="No"/>
    <x v="5"/>
  </r>
  <r>
    <x v="180"/>
    <s v="Billing Clerk"/>
    <x v="3"/>
    <n v="3084"/>
    <n v="72"/>
    <n v="28"/>
    <x v="4"/>
    <n v="444115"/>
    <s v="Yes"/>
    <x v="4"/>
  </r>
  <r>
    <x v="181"/>
    <s v="Receptionist"/>
    <x v="7"/>
    <n v="4213"/>
    <n v="43"/>
    <n v="57"/>
    <x v="4"/>
    <n v="381679"/>
    <s v="No"/>
    <x v="11"/>
  </r>
  <r>
    <x v="182"/>
    <s v="Customer Support Rep"/>
    <x v="12"/>
    <n v="783"/>
    <n v="84"/>
    <n v="16"/>
    <x v="2"/>
    <n v="446811"/>
    <s v="Yes"/>
    <x v="4"/>
  </r>
  <r>
    <x v="183"/>
    <s v="Retail Cashier"/>
    <x v="11"/>
    <n v="3348"/>
    <n v="78"/>
    <n v="22"/>
    <x v="3"/>
    <n v="371965"/>
    <s v="Yes"/>
    <x v="3"/>
  </r>
  <r>
    <x v="184"/>
    <s v="Clerical Assistant"/>
    <x v="4"/>
    <n v="484"/>
    <n v="72"/>
    <n v="28"/>
    <x v="2"/>
    <n v="239315"/>
    <s v="Yes"/>
    <x v="7"/>
  </r>
  <r>
    <x v="185"/>
    <s v="Retail Cashier"/>
    <x v="11"/>
    <n v="4449"/>
    <n v="50"/>
    <n v="50"/>
    <x v="1"/>
    <n v="277870"/>
    <s v="No"/>
    <x v="13"/>
  </r>
  <r>
    <x v="186"/>
    <s v="Call Center Agent"/>
    <x v="17"/>
    <n v="1996"/>
    <n v="49"/>
    <n v="51"/>
    <x v="2"/>
    <n v="531923"/>
    <s v="No"/>
    <x v="3"/>
  </r>
  <r>
    <x v="187"/>
    <s v="Call Center Agent"/>
    <x v="17"/>
    <n v="4771"/>
    <n v="58"/>
    <n v="42"/>
    <x v="0"/>
    <n v="577671"/>
    <s v="Yes"/>
    <x v="8"/>
  </r>
  <r>
    <x v="188"/>
    <s v="Food Delivery Executive"/>
    <x v="13"/>
    <n v="4021"/>
    <n v="77"/>
    <n v="23"/>
    <x v="4"/>
    <n v="298951"/>
    <s v="Yes"/>
    <x v="6"/>
  </r>
  <r>
    <x v="189"/>
    <s v="Library Assistant"/>
    <x v="10"/>
    <n v="4980"/>
    <n v="58"/>
    <n v="42"/>
    <x v="1"/>
    <n v="585225"/>
    <s v="Yes"/>
    <x v="10"/>
  </r>
  <r>
    <x v="190"/>
    <s v="Technical Support Staff"/>
    <x v="2"/>
    <n v="3161"/>
    <n v="47"/>
    <n v="53"/>
    <x v="2"/>
    <n v="377155"/>
    <s v="No"/>
    <x v="5"/>
  </r>
  <r>
    <x v="191"/>
    <s v="Receptionist"/>
    <x v="7"/>
    <n v="1078"/>
    <n v="60"/>
    <n v="40"/>
    <x v="0"/>
    <n v="556680"/>
    <s v="Yes"/>
    <x v="14"/>
  </r>
  <r>
    <x v="192"/>
    <s v="Customer Support Rep"/>
    <x v="12"/>
    <n v="3470"/>
    <n v="66"/>
    <n v="34"/>
    <x v="4"/>
    <n v="262027"/>
    <s v="Yes"/>
    <x v="8"/>
  </r>
  <r>
    <x v="193"/>
    <s v="Help Desk Technician"/>
    <x v="1"/>
    <n v="1635"/>
    <n v="49"/>
    <n v="51"/>
    <x v="3"/>
    <n v="531793"/>
    <s v="No"/>
    <x v="2"/>
  </r>
  <r>
    <x v="194"/>
    <s v="Billing Clerk"/>
    <x v="3"/>
    <n v="789"/>
    <n v="66"/>
    <n v="34"/>
    <x v="1"/>
    <n v="532347"/>
    <s v="Yes"/>
    <x v="8"/>
  </r>
  <r>
    <x v="195"/>
    <s v="Help Desk Technician"/>
    <x v="1"/>
    <n v="1187"/>
    <n v="46"/>
    <n v="54"/>
    <x v="4"/>
    <n v="289876"/>
    <s v="No"/>
    <x v="8"/>
  </r>
  <r>
    <x v="196"/>
    <s v="Help Desk Technician"/>
    <x v="1"/>
    <n v="3497"/>
    <n v="51"/>
    <n v="49"/>
    <x v="1"/>
    <n v="587098"/>
    <s v="Yes"/>
    <x v="9"/>
  </r>
  <r>
    <x v="197"/>
    <s v="Billing Clerk"/>
    <x v="3"/>
    <n v="3951"/>
    <n v="68"/>
    <n v="32"/>
    <x v="5"/>
    <n v="192002"/>
    <s v="Yes"/>
    <x v="7"/>
  </r>
  <r>
    <x v="198"/>
    <s v="Travel Agent"/>
    <x v="5"/>
    <n v="3164"/>
    <n v="62"/>
    <n v="38"/>
    <x v="1"/>
    <n v="487542"/>
    <s v="Yes"/>
    <x v="0"/>
  </r>
  <r>
    <x v="199"/>
    <s v="Clerical Assistant"/>
    <x v="4"/>
    <n v="2942"/>
    <n v="44"/>
    <n v="56"/>
    <x v="3"/>
    <n v="528200"/>
    <s v="No"/>
    <x v="11"/>
  </r>
  <r>
    <x v="200"/>
    <s v="Travel Agent"/>
    <x v="5"/>
    <n v="2298"/>
    <n v="83"/>
    <n v="17"/>
    <x v="1"/>
    <n v="321395"/>
    <s v="Yes"/>
    <x v="9"/>
  </r>
  <r>
    <x v="201"/>
    <s v="News Reporter"/>
    <x v="0"/>
    <n v="579"/>
    <n v="43"/>
    <n v="57"/>
    <x v="5"/>
    <n v="560162"/>
    <s v="No"/>
    <x v="10"/>
  </r>
  <r>
    <x v="202"/>
    <s v="Retail Cashier"/>
    <x v="11"/>
    <n v="1090"/>
    <n v="54"/>
    <n v="46"/>
    <x v="5"/>
    <n v="334475"/>
    <s v="Yes"/>
    <x v="11"/>
  </r>
  <r>
    <x v="203"/>
    <s v="Machine Operator"/>
    <x v="9"/>
    <n v="2392"/>
    <n v="66"/>
    <n v="34"/>
    <x v="5"/>
    <n v="551138"/>
    <s v="Yes"/>
    <x v="9"/>
  </r>
  <r>
    <x v="204"/>
    <s v="Warehouse Assistant"/>
    <x v="13"/>
    <n v="4338"/>
    <n v="70"/>
    <n v="30"/>
    <x v="5"/>
    <n v="302955"/>
    <s v="Yes"/>
    <x v="9"/>
  </r>
  <r>
    <x v="205"/>
    <s v="Bank Clerk"/>
    <x v="8"/>
    <n v="1241"/>
    <n v="60"/>
    <n v="40"/>
    <x v="0"/>
    <n v="356354"/>
    <s v="Yes"/>
    <x v="13"/>
  </r>
  <r>
    <x v="206"/>
    <s v="Food Delivery Executive"/>
    <x v="13"/>
    <n v="3590"/>
    <n v="70"/>
    <n v="30"/>
    <x v="3"/>
    <n v="490429"/>
    <s v="Yes"/>
    <x v="7"/>
  </r>
  <r>
    <x v="207"/>
    <s v="Warehouse Assistant"/>
    <x v="13"/>
    <n v="3928"/>
    <n v="67"/>
    <n v="33"/>
    <x v="5"/>
    <n v="404285"/>
    <s v="Yes"/>
    <x v="14"/>
  </r>
  <r>
    <x v="208"/>
    <s v="Cleaner"/>
    <x v="16"/>
    <n v="1117"/>
    <n v="57"/>
    <n v="43"/>
    <x v="3"/>
    <n v="407985"/>
    <s v="Yes"/>
    <x v="10"/>
  </r>
  <r>
    <x v="209"/>
    <s v="Security Guard"/>
    <x v="15"/>
    <n v="4701"/>
    <n v="66"/>
    <n v="34"/>
    <x v="4"/>
    <n v="181750"/>
    <s v="Yes"/>
    <x v="1"/>
  </r>
  <r>
    <x v="210"/>
    <s v="Parking Attendant"/>
    <x v="6"/>
    <n v="4761"/>
    <n v="48"/>
    <n v="52"/>
    <x v="2"/>
    <n v="496064"/>
    <s v="No"/>
    <x v="13"/>
  </r>
  <r>
    <x v="211"/>
    <s v="Security Guard"/>
    <x v="15"/>
    <n v="357"/>
    <n v="52"/>
    <n v="48"/>
    <x v="5"/>
    <n v="359958"/>
    <s v="Yes"/>
    <x v="0"/>
  </r>
  <r>
    <x v="212"/>
    <s v="Security Guard"/>
    <x v="15"/>
    <n v="1921"/>
    <n v="73"/>
    <n v="27"/>
    <x v="2"/>
    <n v="524759"/>
    <s v="Yes"/>
    <x v="10"/>
  </r>
  <r>
    <x v="213"/>
    <s v="Taxi Driver"/>
    <x v="6"/>
    <n v="2740"/>
    <n v="79"/>
    <n v="21"/>
    <x v="1"/>
    <n v="357133"/>
    <s v="Yes"/>
    <x v="11"/>
  </r>
  <r>
    <x v="214"/>
    <s v="Cleaner"/>
    <x v="16"/>
    <n v="2312"/>
    <n v="60"/>
    <n v="40"/>
    <x v="2"/>
    <n v="475265"/>
    <s v="Yes"/>
    <x v="5"/>
  </r>
  <r>
    <x v="215"/>
    <s v="Receptionist"/>
    <x v="7"/>
    <n v="2345"/>
    <n v="78"/>
    <n v="22"/>
    <x v="3"/>
    <n v="487221"/>
    <s v="Yes"/>
    <x v="3"/>
  </r>
  <r>
    <x v="216"/>
    <s v="News Reporter"/>
    <x v="0"/>
    <n v="1217"/>
    <n v="83"/>
    <n v="17"/>
    <x v="2"/>
    <n v="537123"/>
    <s v="Yes"/>
    <x v="10"/>
  </r>
  <r>
    <x v="217"/>
    <s v="Machine Operator"/>
    <x v="9"/>
    <n v="683"/>
    <n v="41"/>
    <n v="59"/>
    <x v="3"/>
    <n v="569712"/>
    <s v="No"/>
    <x v="1"/>
  </r>
  <r>
    <x v="218"/>
    <s v="Billing Clerk"/>
    <x v="3"/>
    <n v="3044"/>
    <n v="80"/>
    <n v="20"/>
    <x v="5"/>
    <n v="234492"/>
    <s v="Yes"/>
    <x v="9"/>
  </r>
  <r>
    <x v="219"/>
    <s v="Warehouse Assistant"/>
    <x v="13"/>
    <n v="2427"/>
    <n v="54"/>
    <n v="46"/>
    <x v="0"/>
    <n v="276418"/>
    <s v="Yes"/>
    <x v="10"/>
  </r>
  <r>
    <x v="220"/>
    <s v="Technical Support Staff"/>
    <x v="2"/>
    <n v="2139"/>
    <n v="44"/>
    <n v="56"/>
    <x v="4"/>
    <n v="303007"/>
    <s v="No"/>
    <x v="12"/>
  </r>
  <r>
    <x v="221"/>
    <s v="News Reporter"/>
    <x v="0"/>
    <n v="1455"/>
    <n v="50"/>
    <n v="50"/>
    <x v="2"/>
    <n v="511958"/>
    <s v="No"/>
    <x v="0"/>
  </r>
  <r>
    <x v="222"/>
    <s v="Data Entry Clerk"/>
    <x v="14"/>
    <n v="3443"/>
    <n v="58"/>
    <n v="42"/>
    <x v="4"/>
    <n v="356951"/>
    <s v="Yes"/>
    <x v="2"/>
  </r>
  <r>
    <x v="223"/>
    <s v="Warehouse Assistant"/>
    <x v="13"/>
    <n v="4636"/>
    <n v="45"/>
    <n v="55"/>
    <x v="0"/>
    <n v="375546"/>
    <s v="No"/>
    <x v="12"/>
  </r>
  <r>
    <x v="224"/>
    <s v="Help Desk Technician"/>
    <x v="1"/>
    <n v="2101"/>
    <n v="73"/>
    <n v="27"/>
    <x v="4"/>
    <n v="559644"/>
    <s v="Yes"/>
    <x v="4"/>
  </r>
  <r>
    <x v="225"/>
    <s v="Billing Clerk"/>
    <x v="3"/>
    <n v="448"/>
    <n v="84"/>
    <n v="16"/>
    <x v="4"/>
    <n v="554878"/>
    <s v="Yes"/>
    <x v="3"/>
  </r>
  <r>
    <x v="226"/>
    <s v="Security Guard"/>
    <x v="15"/>
    <n v="3591"/>
    <n v="50"/>
    <n v="50"/>
    <x v="4"/>
    <n v="541684"/>
    <s v="No"/>
    <x v="1"/>
  </r>
  <r>
    <x v="227"/>
    <s v="Bank Clerk"/>
    <x v="8"/>
    <n v="932"/>
    <n v="61"/>
    <n v="39"/>
    <x v="0"/>
    <n v="257929"/>
    <s v="Yes"/>
    <x v="10"/>
  </r>
  <r>
    <x v="228"/>
    <s v="Cleaner"/>
    <x v="16"/>
    <n v="1093"/>
    <n v="79"/>
    <n v="21"/>
    <x v="4"/>
    <n v="469209"/>
    <s v="Yes"/>
    <x v="6"/>
  </r>
  <r>
    <x v="229"/>
    <s v="Receptionist"/>
    <x v="7"/>
    <n v="2937"/>
    <n v="61"/>
    <n v="39"/>
    <x v="0"/>
    <n v="430248"/>
    <s v="Yes"/>
    <x v="2"/>
  </r>
  <r>
    <x v="230"/>
    <s v="Billing Clerk"/>
    <x v="3"/>
    <n v="4570"/>
    <n v="70"/>
    <n v="30"/>
    <x v="0"/>
    <n v="443823"/>
    <s v="Yes"/>
    <x v="5"/>
  </r>
  <r>
    <x v="231"/>
    <s v="Help Desk Technician"/>
    <x v="1"/>
    <n v="4464"/>
    <n v="56"/>
    <n v="44"/>
    <x v="1"/>
    <n v="215867"/>
    <s v="Yes"/>
    <x v="8"/>
  </r>
  <r>
    <x v="232"/>
    <s v="Parking Attendant"/>
    <x v="6"/>
    <n v="4100"/>
    <n v="48"/>
    <n v="52"/>
    <x v="5"/>
    <n v="438928"/>
    <s v="No"/>
    <x v="0"/>
  </r>
  <r>
    <x v="233"/>
    <s v="Bank Clerk"/>
    <x v="8"/>
    <n v="1923"/>
    <n v="69"/>
    <n v="31"/>
    <x v="0"/>
    <n v="597955"/>
    <s v="Yes"/>
    <x v="6"/>
  </r>
  <r>
    <x v="234"/>
    <s v="Security Guard"/>
    <x v="15"/>
    <n v="820"/>
    <n v="45"/>
    <n v="55"/>
    <x v="0"/>
    <n v="368580"/>
    <s v="No"/>
    <x v="8"/>
  </r>
  <r>
    <x v="235"/>
    <s v="Billing Clerk"/>
    <x v="3"/>
    <n v="2075"/>
    <n v="40"/>
    <n v="60"/>
    <x v="3"/>
    <n v="263410"/>
    <s v="No"/>
    <x v="8"/>
  </r>
  <r>
    <x v="236"/>
    <s v="Taxi Driver"/>
    <x v="6"/>
    <n v="3577"/>
    <n v="62"/>
    <n v="38"/>
    <x v="3"/>
    <n v="319958"/>
    <s v="Yes"/>
    <x v="7"/>
  </r>
  <r>
    <x v="237"/>
    <s v="Retail Cashier"/>
    <x v="11"/>
    <n v="389"/>
    <n v="81"/>
    <n v="19"/>
    <x v="1"/>
    <n v="344105"/>
    <s v="Yes"/>
    <x v="14"/>
  </r>
  <r>
    <x v="238"/>
    <s v="Library Assistant"/>
    <x v="10"/>
    <n v="2455"/>
    <n v="41"/>
    <n v="59"/>
    <x v="0"/>
    <n v="465323"/>
    <s v="No"/>
    <x v="6"/>
  </r>
  <r>
    <x v="239"/>
    <s v="Retail Cashier"/>
    <x v="11"/>
    <n v="560"/>
    <n v="82"/>
    <n v="18"/>
    <x v="3"/>
    <n v="373603"/>
    <s v="Yes"/>
    <x v="5"/>
  </r>
  <r>
    <x v="240"/>
    <s v="Technical Support Staff"/>
    <x v="2"/>
    <n v="2124"/>
    <n v="75"/>
    <n v="25"/>
    <x v="3"/>
    <n v="329087"/>
    <s v="Yes"/>
    <x v="11"/>
  </r>
  <r>
    <x v="241"/>
    <s v="Receptionist"/>
    <x v="7"/>
    <n v="2075"/>
    <n v="53"/>
    <n v="47"/>
    <x v="1"/>
    <n v="352138"/>
    <s v="Yes"/>
    <x v="1"/>
  </r>
  <r>
    <x v="242"/>
    <s v="Help Desk Technician"/>
    <x v="1"/>
    <n v="1659"/>
    <n v="62"/>
    <n v="38"/>
    <x v="2"/>
    <n v="326665"/>
    <s v="Yes"/>
    <x v="10"/>
  </r>
  <r>
    <x v="243"/>
    <s v="Billing Clerk"/>
    <x v="3"/>
    <n v="4675"/>
    <n v="70"/>
    <n v="30"/>
    <x v="3"/>
    <n v="387272"/>
    <s v="Yes"/>
    <x v="9"/>
  </r>
  <r>
    <x v="244"/>
    <s v="Call Center Agent"/>
    <x v="17"/>
    <n v="1811"/>
    <n v="51"/>
    <n v="49"/>
    <x v="2"/>
    <n v="290199"/>
    <s v="Yes"/>
    <x v="8"/>
  </r>
  <r>
    <x v="245"/>
    <s v="News Reporter"/>
    <x v="0"/>
    <n v="990"/>
    <n v="75"/>
    <n v="25"/>
    <x v="2"/>
    <n v="383363"/>
    <s v="Yes"/>
    <x v="3"/>
  </r>
  <r>
    <x v="246"/>
    <s v="Technical Support Staff"/>
    <x v="2"/>
    <n v="2803"/>
    <n v="78"/>
    <n v="22"/>
    <x v="2"/>
    <n v="212383"/>
    <s v="Yes"/>
    <x v="9"/>
  </r>
  <r>
    <x v="247"/>
    <s v="Machine Operator"/>
    <x v="9"/>
    <n v="4827"/>
    <n v="66"/>
    <n v="34"/>
    <x v="4"/>
    <n v="321181"/>
    <s v="Yes"/>
    <x v="10"/>
  </r>
  <r>
    <x v="248"/>
    <s v="Retail Cashier"/>
    <x v="11"/>
    <n v="4291"/>
    <n v="54"/>
    <n v="46"/>
    <x v="2"/>
    <n v="554002"/>
    <s v="Yes"/>
    <x v="2"/>
  </r>
  <r>
    <x v="249"/>
    <s v="Help Desk Technician"/>
    <x v="1"/>
    <n v="4864"/>
    <n v="63"/>
    <n v="37"/>
    <x v="0"/>
    <n v="423400"/>
    <s v="Yes"/>
    <x v="12"/>
  </r>
  <r>
    <x v="250"/>
    <s v="Data Entry Clerk"/>
    <x v="14"/>
    <n v="3796"/>
    <n v="58"/>
    <n v="42"/>
    <x v="3"/>
    <n v="364577"/>
    <s v="Yes"/>
    <x v="5"/>
  </r>
  <r>
    <x v="251"/>
    <s v="Security Guard"/>
    <x v="15"/>
    <n v="3889"/>
    <n v="65"/>
    <n v="35"/>
    <x v="4"/>
    <n v="558254"/>
    <s v="Yes"/>
    <x v="7"/>
  </r>
  <r>
    <x v="252"/>
    <s v="Travel Agent"/>
    <x v="5"/>
    <n v="452"/>
    <n v="47"/>
    <n v="53"/>
    <x v="1"/>
    <n v="189252"/>
    <s v="No"/>
    <x v="14"/>
  </r>
  <r>
    <x v="253"/>
    <s v="Travel Agent"/>
    <x v="5"/>
    <n v="2101"/>
    <n v="72"/>
    <n v="28"/>
    <x v="2"/>
    <n v="593641"/>
    <s v="Yes"/>
    <x v="14"/>
  </r>
  <r>
    <x v="254"/>
    <s v="Customer Support Rep"/>
    <x v="12"/>
    <n v="4785"/>
    <n v="41"/>
    <n v="59"/>
    <x v="0"/>
    <n v="286878"/>
    <s v="No"/>
    <x v="4"/>
  </r>
  <r>
    <x v="255"/>
    <s v="Data Entry Clerk"/>
    <x v="14"/>
    <n v="2154"/>
    <n v="79"/>
    <n v="21"/>
    <x v="0"/>
    <n v="452606"/>
    <s v="Yes"/>
    <x v="4"/>
  </r>
  <r>
    <x v="256"/>
    <s v="Warehouse Assistant"/>
    <x v="13"/>
    <n v="1462"/>
    <n v="47"/>
    <n v="53"/>
    <x v="3"/>
    <n v="538985"/>
    <s v="No"/>
    <x v="2"/>
  </r>
  <r>
    <x v="257"/>
    <s v="Library Assistant"/>
    <x v="10"/>
    <n v="1629"/>
    <n v="83"/>
    <n v="17"/>
    <x v="0"/>
    <n v="363425"/>
    <s v="Yes"/>
    <x v="4"/>
  </r>
  <r>
    <x v="258"/>
    <s v="Cleaner"/>
    <x v="16"/>
    <n v="2095"/>
    <n v="80"/>
    <n v="20"/>
    <x v="3"/>
    <n v="452400"/>
    <s v="Yes"/>
    <x v="4"/>
  </r>
  <r>
    <x v="259"/>
    <s v="Security Guard"/>
    <x v="15"/>
    <n v="3511"/>
    <n v="62"/>
    <n v="38"/>
    <x v="5"/>
    <n v="517920"/>
    <s v="Yes"/>
    <x v="8"/>
  </r>
  <r>
    <x v="260"/>
    <s v="Retail Cashier"/>
    <x v="11"/>
    <n v="1977"/>
    <n v="68"/>
    <n v="32"/>
    <x v="2"/>
    <n v="566004"/>
    <s v="Yes"/>
    <x v="13"/>
  </r>
  <r>
    <x v="261"/>
    <s v="Retail Cashier"/>
    <x v="11"/>
    <n v="4951"/>
    <n v="85"/>
    <n v="15"/>
    <x v="0"/>
    <n v="326584"/>
    <s v="Yes"/>
    <x v="3"/>
  </r>
  <r>
    <x v="262"/>
    <s v="Parking Attendant"/>
    <x v="6"/>
    <n v="1850"/>
    <n v="57"/>
    <n v="43"/>
    <x v="2"/>
    <n v="344313"/>
    <s v="Yes"/>
    <x v="1"/>
  </r>
  <r>
    <x v="263"/>
    <s v="Machine Operator"/>
    <x v="9"/>
    <n v="4779"/>
    <n v="53"/>
    <n v="47"/>
    <x v="5"/>
    <n v="340985"/>
    <s v="Yes"/>
    <x v="6"/>
  </r>
  <r>
    <x v="264"/>
    <s v="News Reporter"/>
    <x v="0"/>
    <n v="1377"/>
    <n v="78"/>
    <n v="22"/>
    <x v="1"/>
    <n v="507684"/>
    <s v="Yes"/>
    <x v="14"/>
  </r>
  <r>
    <x v="265"/>
    <s v="Data Entry Clerk"/>
    <x v="14"/>
    <n v="3447"/>
    <n v="55"/>
    <n v="45"/>
    <x v="4"/>
    <n v="520785"/>
    <s v="Yes"/>
    <x v="4"/>
  </r>
  <r>
    <x v="266"/>
    <s v="Clerical Assistant"/>
    <x v="4"/>
    <n v="3590"/>
    <n v="55"/>
    <n v="45"/>
    <x v="2"/>
    <n v="339621"/>
    <s v="Yes"/>
    <x v="3"/>
  </r>
  <r>
    <x v="267"/>
    <s v="Data Entry Clerk"/>
    <x v="14"/>
    <n v="2930"/>
    <n v="77"/>
    <n v="23"/>
    <x v="3"/>
    <n v="396508"/>
    <s v="Yes"/>
    <x v="13"/>
  </r>
  <r>
    <x v="268"/>
    <s v="Help Desk Technician"/>
    <x v="1"/>
    <n v="4670"/>
    <n v="58"/>
    <n v="42"/>
    <x v="2"/>
    <n v="492109"/>
    <s v="Yes"/>
    <x v="13"/>
  </r>
  <r>
    <x v="269"/>
    <s v="News Reporter"/>
    <x v="0"/>
    <n v="2899"/>
    <n v="84"/>
    <n v="16"/>
    <x v="2"/>
    <n v="449419"/>
    <s v="Yes"/>
    <x v="9"/>
  </r>
  <r>
    <x v="270"/>
    <s v="Travel Agent"/>
    <x v="5"/>
    <n v="1923"/>
    <n v="78"/>
    <n v="22"/>
    <x v="0"/>
    <n v="308233"/>
    <s v="Yes"/>
    <x v="8"/>
  </r>
  <r>
    <x v="271"/>
    <s v="Bank Clerk"/>
    <x v="8"/>
    <n v="4590"/>
    <n v="66"/>
    <n v="34"/>
    <x v="0"/>
    <n v="501060"/>
    <s v="Yes"/>
    <x v="2"/>
  </r>
  <r>
    <x v="272"/>
    <s v="Help Desk Technician"/>
    <x v="1"/>
    <n v="491"/>
    <n v="65"/>
    <n v="35"/>
    <x v="3"/>
    <n v="330455"/>
    <s v="Yes"/>
    <x v="14"/>
  </r>
  <r>
    <x v="273"/>
    <s v="Call Center Agent"/>
    <x v="17"/>
    <n v="2754"/>
    <n v="84"/>
    <n v="16"/>
    <x v="0"/>
    <n v="253372"/>
    <s v="Yes"/>
    <x v="0"/>
  </r>
  <r>
    <x v="274"/>
    <s v="Library Assistant"/>
    <x v="10"/>
    <n v="4415"/>
    <n v="47"/>
    <n v="53"/>
    <x v="4"/>
    <n v="408355"/>
    <s v="No"/>
    <x v="3"/>
  </r>
  <r>
    <x v="275"/>
    <s v="Help Desk Technician"/>
    <x v="1"/>
    <n v="4240"/>
    <n v="76"/>
    <n v="24"/>
    <x v="5"/>
    <n v="198923"/>
    <s v="Yes"/>
    <x v="5"/>
  </r>
  <r>
    <x v="276"/>
    <s v="Bank Clerk"/>
    <x v="8"/>
    <n v="4333"/>
    <n v="63"/>
    <n v="37"/>
    <x v="2"/>
    <n v="568264"/>
    <s v="Yes"/>
    <x v="2"/>
  </r>
  <r>
    <x v="277"/>
    <s v="Security Guard"/>
    <x v="15"/>
    <n v="3764"/>
    <n v="82"/>
    <n v="18"/>
    <x v="1"/>
    <n v="590670"/>
    <s v="Yes"/>
    <x v="13"/>
  </r>
  <r>
    <x v="278"/>
    <s v="Technical Support Staff"/>
    <x v="2"/>
    <n v="4996"/>
    <n v="82"/>
    <n v="18"/>
    <x v="3"/>
    <n v="501554"/>
    <s v="Yes"/>
    <x v="14"/>
  </r>
  <r>
    <x v="279"/>
    <s v="Security Guard"/>
    <x v="15"/>
    <n v="3134"/>
    <n v="45"/>
    <n v="55"/>
    <x v="3"/>
    <n v="286436"/>
    <s v="No"/>
    <x v="0"/>
  </r>
  <r>
    <x v="280"/>
    <s v="Machine Operator"/>
    <x v="9"/>
    <n v="1441"/>
    <n v="85"/>
    <n v="15"/>
    <x v="0"/>
    <n v="449703"/>
    <s v="Yes"/>
    <x v="5"/>
  </r>
  <r>
    <x v="281"/>
    <s v="Machine Operator"/>
    <x v="9"/>
    <n v="1027"/>
    <n v="65"/>
    <n v="35"/>
    <x v="5"/>
    <n v="259341"/>
    <s v="Yes"/>
    <x v="6"/>
  </r>
  <r>
    <x v="282"/>
    <s v="Bank Clerk"/>
    <x v="8"/>
    <n v="878"/>
    <n v="78"/>
    <n v="22"/>
    <x v="0"/>
    <n v="578096"/>
    <s v="Yes"/>
    <x v="6"/>
  </r>
  <r>
    <x v="283"/>
    <s v="Call Center Agent"/>
    <x v="17"/>
    <n v="4727"/>
    <n v="58"/>
    <n v="42"/>
    <x v="3"/>
    <n v="537353"/>
    <s v="Yes"/>
    <x v="7"/>
  </r>
  <r>
    <x v="284"/>
    <s v="Help Desk Technician"/>
    <x v="1"/>
    <n v="1117"/>
    <n v="40"/>
    <n v="60"/>
    <x v="4"/>
    <n v="438146"/>
    <s v="No"/>
    <x v="11"/>
  </r>
  <r>
    <x v="285"/>
    <s v="Technical Support Staff"/>
    <x v="2"/>
    <n v="4570"/>
    <n v="78"/>
    <n v="22"/>
    <x v="4"/>
    <n v="521563"/>
    <s v="Yes"/>
    <x v="0"/>
  </r>
  <r>
    <x v="286"/>
    <s v="Retail Cashier"/>
    <x v="11"/>
    <n v="4749"/>
    <n v="85"/>
    <n v="15"/>
    <x v="0"/>
    <n v="512408"/>
    <s v="Yes"/>
    <x v="8"/>
  </r>
  <r>
    <x v="287"/>
    <s v="Clerical Assistant"/>
    <x v="4"/>
    <n v="3701"/>
    <n v="49"/>
    <n v="51"/>
    <x v="5"/>
    <n v="324877"/>
    <s v="No"/>
    <x v="1"/>
  </r>
  <r>
    <x v="288"/>
    <s v="Parking Attendant"/>
    <x v="6"/>
    <n v="990"/>
    <n v="74"/>
    <n v="26"/>
    <x v="1"/>
    <n v="597056"/>
    <s v="Yes"/>
    <x v="10"/>
  </r>
  <r>
    <x v="289"/>
    <s v="Data Entry Clerk"/>
    <x v="14"/>
    <n v="400"/>
    <n v="68"/>
    <n v="32"/>
    <x v="2"/>
    <n v="549071"/>
    <s v="Yes"/>
    <x v="10"/>
  </r>
  <r>
    <x v="290"/>
    <s v="Food Delivery Executive"/>
    <x v="13"/>
    <n v="1333"/>
    <n v="70"/>
    <n v="30"/>
    <x v="3"/>
    <n v="225232"/>
    <s v="Yes"/>
    <x v="4"/>
  </r>
  <r>
    <x v="291"/>
    <s v="Help Desk Technician"/>
    <x v="1"/>
    <n v="510"/>
    <n v="51"/>
    <n v="49"/>
    <x v="1"/>
    <n v="254231"/>
    <s v="Yes"/>
    <x v="4"/>
  </r>
  <r>
    <x v="292"/>
    <s v="Parking Attendant"/>
    <x v="6"/>
    <n v="1229"/>
    <n v="70"/>
    <n v="30"/>
    <x v="3"/>
    <n v="528131"/>
    <s v="Yes"/>
    <x v="3"/>
  </r>
  <r>
    <x v="293"/>
    <s v="Retail Cashier"/>
    <x v="11"/>
    <n v="3573"/>
    <n v="45"/>
    <n v="55"/>
    <x v="3"/>
    <n v="384646"/>
    <s v="No"/>
    <x v="9"/>
  </r>
  <r>
    <x v="294"/>
    <s v="Security Guard"/>
    <x v="15"/>
    <n v="3088"/>
    <n v="43"/>
    <n v="57"/>
    <x v="0"/>
    <n v="213216"/>
    <s v="No"/>
    <x v="3"/>
  </r>
  <r>
    <x v="295"/>
    <s v="Billing Clerk"/>
    <x v="3"/>
    <n v="2898"/>
    <n v="45"/>
    <n v="55"/>
    <x v="4"/>
    <n v="423112"/>
    <s v="No"/>
    <x v="0"/>
  </r>
  <r>
    <x v="296"/>
    <s v="Data Entry Clerk"/>
    <x v="14"/>
    <n v="390"/>
    <n v="85"/>
    <n v="15"/>
    <x v="1"/>
    <n v="252752"/>
    <s v="Yes"/>
    <x v="4"/>
  </r>
  <r>
    <x v="297"/>
    <s v="Warehouse Assistant"/>
    <x v="13"/>
    <n v="2408"/>
    <n v="66"/>
    <n v="34"/>
    <x v="4"/>
    <n v="407119"/>
    <s v="Yes"/>
    <x v="14"/>
  </r>
  <r>
    <x v="298"/>
    <s v="Cleaner"/>
    <x v="16"/>
    <n v="1162"/>
    <n v="52"/>
    <n v="48"/>
    <x v="3"/>
    <n v="481702"/>
    <s v="Yes"/>
    <x v="4"/>
  </r>
  <r>
    <x v="299"/>
    <s v="Food Delivery Executive"/>
    <x v="13"/>
    <n v="243"/>
    <n v="40"/>
    <n v="60"/>
    <x v="4"/>
    <n v="378527"/>
    <s v="No"/>
    <x v="13"/>
  </r>
  <r>
    <x v="300"/>
    <s v="News Reporter"/>
    <x v="0"/>
    <n v="3238"/>
    <n v="58"/>
    <n v="42"/>
    <x v="1"/>
    <n v="502042"/>
    <s v="Yes"/>
    <x v="3"/>
  </r>
  <r>
    <x v="301"/>
    <s v="Billing Clerk"/>
    <x v="3"/>
    <n v="4351"/>
    <n v="65"/>
    <n v="35"/>
    <x v="5"/>
    <n v="277685"/>
    <s v="Yes"/>
    <x v="10"/>
  </r>
  <r>
    <x v="302"/>
    <s v="Warehouse Assistant"/>
    <x v="13"/>
    <n v="2683"/>
    <n v="72"/>
    <n v="28"/>
    <x v="1"/>
    <n v="508104"/>
    <s v="Yes"/>
    <x v="7"/>
  </r>
  <r>
    <x v="303"/>
    <s v="Technical Support Staff"/>
    <x v="2"/>
    <n v="928"/>
    <n v="55"/>
    <n v="45"/>
    <x v="2"/>
    <n v="284849"/>
    <s v="Yes"/>
    <x v="2"/>
  </r>
  <r>
    <x v="304"/>
    <s v="Customer Support Rep"/>
    <x v="12"/>
    <n v="2761"/>
    <n v="52"/>
    <n v="48"/>
    <x v="1"/>
    <n v="341146"/>
    <s v="Yes"/>
    <x v="5"/>
  </r>
  <r>
    <x v="305"/>
    <s v="Retail Cashier"/>
    <x v="11"/>
    <n v="1681"/>
    <n v="53"/>
    <n v="47"/>
    <x v="2"/>
    <n v="442369"/>
    <s v="Yes"/>
    <x v="11"/>
  </r>
  <r>
    <x v="306"/>
    <s v="Security Guard"/>
    <x v="15"/>
    <n v="4701"/>
    <n v="47"/>
    <n v="53"/>
    <x v="5"/>
    <n v="183547"/>
    <s v="No"/>
    <x v="2"/>
  </r>
  <r>
    <x v="307"/>
    <s v="Taxi Driver"/>
    <x v="6"/>
    <n v="553"/>
    <n v="71"/>
    <n v="29"/>
    <x v="1"/>
    <n v="339671"/>
    <s v="Yes"/>
    <x v="9"/>
  </r>
  <r>
    <x v="308"/>
    <s v="Clerical Assistant"/>
    <x v="4"/>
    <n v="722"/>
    <n v="52"/>
    <n v="48"/>
    <x v="4"/>
    <n v="550820"/>
    <s v="Yes"/>
    <x v="4"/>
  </r>
  <r>
    <x v="309"/>
    <s v="Parking Attendant"/>
    <x v="6"/>
    <n v="4804"/>
    <n v="73"/>
    <n v="27"/>
    <x v="5"/>
    <n v="351215"/>
    <s v="Yes"/>
    <x v="9"/>
  </r>
  <r>
    <x v="310"/>
    <s v="Taxi Driver"/>
    <x v="6"/>
    <n v="4568"/>
    <n v="81"/>
    <n v="19"/>
    <x v="3"/>
    <n v="562551"/>
    <s v="Yes"/>
    <x v="11"/>
  </r>
  <r>
    <x v="311"/>
    <s v="Clerical Assistant"/>
    <x v="4"/>
    <n v="4078"/>
    <n v="42"/>
    <n v="58"/>
    <x v="4"/>
    <n v="337835"/>
    <s v="No"/>
    <x v="1"/>
  </r>
  <r>
    <x v="312"/>
    <s v="Travel Agent"/>
    <x v="5"/>
    <n v="3892"/>
    <n v="63"/>
    <n v="37"/>
    <x v="3"/>
    <n v="202610"/>
    <s v="Yes"/>
    <x v="10"/>
  </r>
  <r>
    <x v="313"/>
    <s v="Cleaner"/>
    <x v="16"/>
    <n v="1442"/>
    <n v="80"/>
    <n v="20"/>
    <x v="3"/>
    <n v="356943"/>
    <s v="Yes"/>
    <x v="0"/>
  </r>
  <r>
    <x v="314"/>
    <s v="Cleaner"/>
    <x v="16"/>
    <n v="1560"/>
    <n v="42"/>
    <n v="58"/>
    <x v="4"/>
    <n v="517130"/>
    <s v="No"/>
    <x v="11"/>
  </r>
  <r>
    <x v="315"/>
    <s v="Bank Clerk"/>
    <x v="8"/>
    <n v="2209"/>
    <n v="47"/>
    <n v="53"/>
    <x v="0"/>
    <n v="471260"/>
    <s v="No"/>
    <x v="4"/>
  </r>
  <r>
    <x v="316"/>
    <s v="Billing Clerk"/>
    <x v="3"/>
    <n v="4091"/>
    <n v="75"/>
    <n v="25"/>
    <x v="2"/>
    <n v="544116"/>
    <s v="Yes"/>
    <x v="9"/>
  </r>
  <r>
    <x v="317"/>
    <s v="Machine Operator"/>
    <x v="9"/>
    <n v="4989"/>
    <n v="53"/>
    <n v="47"/>
    <x v="5"/>
    <n v="340120"/>
    <s v="Yes"/>
    <x v="4"/>
  </r>
  <r>
    <x v="318"/>
    <s v="Retail Cashier"/>
    <x v="11"/>
    <n v="4752"/>
    <n v="47"/>
    <n v="53"/>
    <x v="1"/>
    <n v="472459"/>
    <s v="No"/>
    <x v="7"/>
  </r>
  <r>
    <x v="319"/>
    <s v="Library Assistant"/>
    <x v="10"/>
    <n v="1744"/>
    <n v="74"/>
    <n v="26"/>
    <x v="5"/>
    <n v="461812"/>
    <s v="Yes"/>
    <x v="7"/>
  </r>
  <r>
    <x v="320"/>
    <s v="Library Assistant"/>
    <x v="10"/>
    <n v="826"/>
    <n v="78"/>
    <n v="22"/>
    <x v="4"/>
    <n v="204483"/>
    <s v="Yes"/>
    <x v="5"/>
  </r>
  <r>
    <x v="321"/>
    <s v="Library Assistant"/>
    <x v="10"/>
    <n v="3934"/>
    <n v="71"/>
    <n v="29"/>
    <x v="1"/>
    <n v="365873"/>
    <s v="Yes"/>
    <x v="6"/>
  </r>
  <r>
    <x v="322"/>
    <s v="Clerical Assistant"/>
    <x v="4"/>
    <n v="3112"/>
    <n v="62"/>
    <n v="38"/>
    <x v="5"/>
    <n v="354310"/>
    <s v="Yes"/>
    <x v="12"/>
  </r>
  <r>
    <x v="323"/>
    <s v="Help Desk Technician"/>
    <x v="1"/>
    <n v="658"/>
    <n v="78"/>
    <n v="22"/>
    <x v="5"/>
    <n v="418110"/>
    <s v="Yes"/>
    <x v="11"/>
  </r>
  <r>
    <x v="324"/>
    <s v="Warehouse Assistant"/>
    <x v="13"/>
    <n v="2094"/>
    <n v="50"/>
    <n v="50"/>
    <x v="1"/>
    <n v="593504"/>
    <s v="No"/>
    <x v="3"/>
  </r>
  <r>
    <x v="325"/>
    <s v="Clerical Assistant"/>
    <x v="4"/>
    <n v="1551"/>
    <n v="70"/>
    <n v="30"/>
    <x v="0"/>
    <n v="476333"/>
    <s v="Yes"/>
    <x v="13"/>
  </r>
  <r>
    <x v="326"/>
    <s v="Food Delivery Executive"/>
    <x v="13"/>
    <n v="254"/>
    <n v="70"/>
    <n v="30"/>
    <x v="0"/>
    <n v="490987"/>
    <s v="Yes"/>
    <x v="14"/>
  </r>
  <r>
    <x v="327"/>
    <s v="Data Entry Clerk"/>
    <x v="14"/>
    <n v="2599"/>
    <n v="79"/>
    <n v="21"/>
    <x v="4"/>
    <n v="407598"/>
    <s v="Yes"/>
    <x v="11"/>
  </r>
  <r>
    <x v="328"/>
    <s v="Customer Support Rep"/>
    <x v="12"/>
    <n v="2256"/>
    <n v="51"/>
    <n v="49"/>
    <x v="2"/>
    <n v="535195"/>
    <s v="Yes"/>
    <x v="1"/>
  </r>
  <r>
    <x v="329"/>
    <s v="Data Entry Clerk"/>
    <x v="14"/>
    <n v="569"/>
    <n v="53"/>
    <n v="47"/>
    <x v="3"/>
    <n v="197421"/>
    <s v="Yes"/>
    <x v="4"/>
  </r>
  <r>
    <x v="330"/>
    <s v="Receptionist"/>
    <x v="7"/>
    <n v="1537"/>
    <n v="74"/>
    <n v="26"/>
    <x v="3"/>
    <n v="562533"/>
    <s v="Yes"/>
    <x v="10"/>
  </r>
  <r>
    <x v="331"/>
    <s v="Warehouse Assistant"/>
    <x v="13"/>
    <n v="4792"/>
    <n v="84"/>
    <n v="16"/>
    <x v="2"/>
    <n v="488802"/>
    <s v="Yes"/>
    <x v="14"/>
  </r>
  <r>
    <x v="332"/>
    <s v="Data Entry Clerk"/>
    <x v="14"/>
    <n v="647"/>
    <n v="81"/>
    <n v="19"/>
    <x v="0"/>
    <n v="427846"/>
    <s v="Yes"/>
    <x v="10"/>
  </r>
  <r>
    <x v="333"/>
    <s v="Call Center Agent"/>
    <x v="17"/>
    <n v="1901"/>
    <n v="47"/>
    <n v="53"/>
    <x v="2"/>
    <n v="215252"/>
    <s v="No"/>
    <x v="10"/>
  </r>
  <r>
    <x v="334"/>
    <s v="Clerical Assistant"/>
    <x v="4"/>
    <n v="2654"/>
    <n v="54"/>
    <n v="46"/>
    <x v="1"/>
    <n v="429577"/>
    <s v="Yes"/>
    <x v="6"/>
  </r>
  <r>
    <x v="335"/>
    <s v="Billing Clerk"/>
    <x v="3"/>
    <n v="2064"/>
    <n v="40"/>
    <n v="60"/>
    <x v="2"/>
    <n v="488899"/>
    <s v="No"/>
    <x v="3"/>
  </r>
  <r>
    <x v="336"/>
    <s v="Parking Attendant"/>
    <x v="6"/>
    <n v="1414"/>
    <n v="53"/>
    <n v="47"/>
    <x v="4"/>
    <n v="495088"/>
    <s v="Yes"/>
    <x v="6"/>
  </r>
  <r>
    <x v="337"/>
    <s v="Machine Operator"/>
    <x v="9"/>
    <n v="3737"/>
    <n v="75"/>
    <n v="25"/>
    <x v="1"/>
    <n v="329466"/>
    <s v="Yes"/>
    <x v="11"/>
  </r>
  <r>
    <x v="338"/>
    <s v="Billing Clerk"/>
    <x v="3"/>
    <n v="713"/>
    <n v="77"/>
    <n v="23"/>
    <x v="1"/>
    <n v="309425"/>
    <s v="Yes"/>
    <x v="10"/>
  </r>
  <r>
    <x v="339"/>
    <s v="Library Assistant"/>
    <x v="10"/>
    <n v="756"/>
    <n v="80"/>
    <n v="20"/>
    <x v="4"/>
    <n v="386223"/>
    <s v="Yes"/>
    <x v="6"/>
  </r>
  <r>
    <x v="340"/>
    <s v="Retail Cashier"/>
    <x v="11"/>
    <n v="1841"/>
    <n v="74"/>
    <n v="26"/>
    <x v="1"/>
    <n v="373137"/>
    <s v="Yes"/>
    <x v="7"/>
  </r>
  <r>
    <x v="341"/>
    <s v="Technical Support Staff"/>
    <x v="2"/>
    <n v="3796"/>
    <n v="59"/>
    <n v="41"/>
    <x v="0"/>
    <n v="557578"/>
    <s v="Yes"/>
    <x v="10"/>
  </r>
  <r>
    <x v="342"/>
    <s v="Security Guard"/>
    <x v="15"/>
    <n v="1588"/>
    <n v="55"/>
    <n v="45"/>
    <x v="4"/>
    <n v="482371"/>
    <s v="Yes"/>
    <x v="7"/>
  </r>
  <r>
    <x v="343"/>
    <s v="Food Delivery Executive"/>
    <x v="13"/>
    <n v="3450"/>
    <n v="61"/>
    <n v="39"/>
    <x v="1"/>
    <n v="442110"/>
    <s v="Yes"/>
    <x v="6"/>
  </r>
  <r>
    <x v="344"/>
    <s v="News Reporter"/>
    <x v="0"/>
    <n v="1698"/>
    <n v="48"/>
    <n v="52"/>
    <x v="4"/>
    <n v="366265"/>
    <s v="No"/>
    <x v="10"/>
  </r>
  <r>
    <x v="345"/>
    <s v="Machine Operator"/>
    <x v="9"/>
    <n v="552"/>
    <n v="71"/>
    <n v="29"/>
    <x v="1"/>
    <n v="564937"/>
    <s v="Yes"/>
    <x v="8"/>
  </r>
  <r>
    <x v="346"/>
    <s v="Bank Clerk"/>
    <x v="8"/>
    <n v="2482"/>
    <n v="57"/>
    <n v="43"/>
    <x v="1"/>
    <n v="423377"/>
    <s v="Yes"/>
    <x v="3"/>
  </r>
  <r>
    <x v="347"/>
    <s v="Retail Cashier"/>
    <x v="11"/>
    <n v="436"/>
    <n v="70"/>
    <n v="30"/>
    <x v="5"/>
    <n v="559410"/>
    <s v="Yes"/>
    <x v="7"/>
  </r>
  <r>
    <x v="348"/>
    <s v="Call Center Agent"/>
    <x v="17"/>
    <n v="645"/>
    <n v="84"/>
    <n v="16"/>
    <x v="1"/>
    <n v="183754"/>
    <s v="Yes"/>
    <x v="11"/>
  </r>
  <r>
    <x v="349"/>
    <s v="Cleaner"/>
    <x v="16"/>
    <n v="2399"/>
    <n v="85"/>
    <n v="15"/>
    <x v="5"/>
    <n v="207991"/>
    <s v="Yes"/>
    <x v="6"/>
  </r>
  <r>
    <x v="350"/>
    <s v="Cleaner"/>
    <x v="16"/>
    <n v="4802"/>
    <n v="51"/>
    <n v="49"/>
    <x v="2"/>
    <n v="430789"/>
    <s v="Yes"/>
    <x v="11"/>
  </r>
  <r>
    <x v="351"/>
    <s v="Travel Agent"/>
    <x v="5"/>
    <n v="3623"/>
    <n v="49"/>
    <n v="51"/>
    <x v="0"/>
    <n v="209703"/>
    <s v="No"/>
    <x v="11"/>
  </r>
  <r>
    <x v="352"/>
    <s v="Food Delivery Executive"/>
    <x v="13"/>
    <n v="448"/>
    <n v="46"/>
    <n v="54"/>
    <x v="3"/>
    <n v="185251"/>
    <s v="No"/>
    <x v="13"/>
  </r>
  <r>
    <x v="353"/>
    <s v="Library Assistant"/>
    <x v="10"/>
    <n v="2332"/>
    <n v="47"/>
    <n v="53"/>
    <x v="5"/>
    <n v="201545"/>
    <s v="No"/>
    <x v="14"/>
  </r>
  <r>
    <x v="354"/>
    <s v="Data Entry Clerk"/>
    <x v="14"/>
    <n v="4471"/>
    <n v="81"/>
    <n v="19"/>
    <x v="0"/>
    <n v="420597"/>
    <s v="Yes"/>
    <x v="4"/>
  </r>
  <r>
    <x v="355"/>
    <s v="Parking Attendant"/>
    <x v="6"/>
    <n v="3623"/>
    <n v="48"/>
    <n v="52"/>
    <x v="1"/>
    <n v="487918"/>
    <s v="No"/>
    <x v="11"/>
  </r>
  <r>
    <x v="356"/>
    <s v="Technical Support Staff"/>
    <x v="2"/>
    <n v="863"/>
    <n v="78"/>
    <n v="22"/>
    <x v="3"/>
    <n v="450364"/>
    <s v="Yes"/>
    <x v="3"/>
  </r>
  <r>
    <x v="357"/>
    <s v="Library Assistant"/>
    <x v="10"/>
    <n v="1422"/>
    <n v="46"/>
    <n v="54"/>
    <x v="3"/>
    <n v="597961"/>
    <s v="No"/>
    <x v="8"/>
  </r>
  <r>
    <x v="358"/>
    <s v="Customer Support Rep"/>
    <x v="12"/>
    <n v="1979"/>
    <n v="47"/>
    <n v="53"/>
    <x v="5"/>
    <n v="471653"/>
    <s v="No"/>
    <x v="3"/>
  </r>
  <r>
    <x v="359"/>
    <s v="Help Desk Technician"/>
    <x v="1"/>
    <n v="2760"/>
    <n v="78"/>
    <n v="22"/>
    <x v="5"/>
    <n v="478515"/>
    <s v="Yes"/>
    <x v="1"/>
  </r>
  <r>
    <x v="360"/>
    <s v="Clerical Assistant"/>
    <x v="4"/>
    <n v="3917"/>
    <n v="73"/>
    <n v="27"/>
    <x v="3"/>
    <n v="456733"/>
    <s v="Yes"/>
    <x v="3"/>
  </r>
  <r>
    <x v="361"/>
    <s v="Data Entry Clerk"/>
    <x v="14"/>
    <n v="280"/>
    <n v="58"/>
    <n v="42"/>
    <x v="3"/>
    <n v="301826"/>
    <s v="Yes"/>
    <x v="14"/>
  </r>
  <r>
    <x v="362"/>
    <s v="Cleaner"/>
    <x v="16"/>
    <n v="1643"/>
    <n v="55"/>
    <n v="45"/>
    <x v="2"/>
    <n v="560583"/>
    <s v="Yes"/>
    <x v="14"/>
  </r>
  <r>
    <x v="363"/>
    <s v="Clerical Assistant"/>
    <x v="4"/>
    <n v="2024"/>
    <n v="77"/>
    <n v="23"/>
    <x v="2"/>
    <n v="197152"/>
    <s v="Yes"/>
    <x v="14"/>
  </r>
  <r>
    <x v="364"/>
    <s v="Customer Support Rep"/>
    <x v="12"/>
    <n v="3558"/>
    <n v="74"/>
    <n v="26"/>
    <x v="1"/>
    <n v="580115"/>
    <s v="Yes"/>
    <x v="13"/>
  </r>
  <r>
    <x v="365"/>
    <s v="Technical Support Staff"/>
    <x v="2"/>
    <n v="425"/>
    <n v="62"/>
    <n v="38"/>
    <x v="5"/>
    <n v="384694"/>
    <s v="Yes"/>
    <x v="1"/>
  </r>
  <r>
    <x v="366"/>
    <s v="Taxi Driver"/>
    <x v="6"/>
    <n v="760"/>
    <n v="75"/>
    <n v="25"/>
    <x v="1"/>
    <n v="437081"/>
    <s v="Yes"/>
    <x v="9"/>
  </r>
  <r>
    <x v="367"/>
    <s v="Clerical Assistant"/>
    <x v="4"/>
    <n v="3466"/>
    <n v="81"/>
    <n v="19"/>
    <x v="2"/>
    <n v="402651"/>
    <s v="Yes"/>
    <x v="13"/>
  </r>
  <r>
    <x v="368"/>
    <s v="Technical Support Staff"/>
    <x v="2"/>
    <n v="4261"/>
    <n v="42"/>
    <n v="58"/>
    <x v="2"/>
    <n v="458543"/>
    <s v="No"/>
    <x v="6"/>
  </r>
  <r>
    <x v="369"/>
    <s v="Clerical Assistant"/>
    <x v="4"/>
    <n v="1518"/>
    <n v="52"/>
    <n v="48"/>
    <x v="0"/>
    <n v="287877"/>
    <s v="Yes"/>
    <x v="14"/>
  </r>
  <r>
    <x v="370"/>
    <s v="Cleaner"/>
    <x v="16"/>
    <n v="1850"/>
    <n v="66"/>
    <n v="34"/>
    <x v="0"/>
    <n v="416480"/>
    <s v="Yes"/>
    <x v="4"/>
  </r>
  <r>
    <x v="371"/>
    <s v="Cleaner"/>
    <x v="16"/>
    <n v="1055"/>
    <n v="81"/>
    <n v="19"/>
    <x v="3"/>
    <n v="203925"/>
    <s v="Yes"/>
    <x v="13"/>
  </r>
  <r>
    <x v="372"/>
    <s v="Security Guard"/>
    <x v="15"/>
    <n v="211"/>
    <n v="74"/>
    <n v="26"/>
    <x v="3"/>
    <n v="248378"/>
    <s v="Yes"/>
    <x v="14"/>
  </r>
  <r>
    <x v="373"/>
    <s v="Taxi Driver"/>
    <x v="6"/>
    <n v="1413"/>
    <n v="71"/>
    <n v="29"/>
    <x v="4"/>
    <n v="403128"/>
    <s v="Yes"/>
    <x v="11"/>
  </r>
  <r>
    <x v="374"/>
    <s v="Clerical Assistant"/>
    <x v="4"/>
    <n v="1297"/>
    <n v="57"/>
    <n v="43"/>
    <x v="1"/>
    <n v="429569"/>
    <s v="Yes"/>
    <x v="1"/>
  </r>
  <r>
    <x v="375"/>
    <s v="Bank Clerk"/>
    <x v="8"/>
    <n v="2459"/>
    <n v="66"/>
    <n v="34"/>
    <x v="3"/>
    <n v="479344"/>
    <s v="Yes"/>
    <x v="12"/>
  </r>
  <r>
    <x v="376"/>
    <s v="Retail Cashier"/>
    <x v="11"/>
    <n v="4334"/>
    <n v="45"/>
    <n v="55"/>
    <x v="5"/>
    <n v="253026"/>
    <s v="No"/>
    <x v="2"/>
  </r>
  <r>
    <x v="377"/>
    <s v="Technical Support Staff"/>
    <x v="2"/>
    <n v="1815"/>
    <n v="59"/>
    <n v="41"/>
    <x v="3"/>
    <n v="287648"/>
    <s v="Yes"/>
    <x v="5"/>
  </r>
  <r>
    <x v="378"/>
    <s v="Receptionist"/>
    <x v="7"/>
    <n v="2137"/>
    <n v="63"/>
    <n v="37"/>
    <x v="2"/>
    <n v="433827"/>
    <s v="Yes"/>
    <x v="0"/>
  </r>
  <r>
    <x v="379"/>
    <s v="Retail Cashier"/>
    <x v="11"/>
    <n v="752"/>
    <n v="50"/>
    <n v="50"/>
    <x v="4"/>
    <n v="529766"/>
    <s v="No"/>
    <x v="3"/>
  </r>
  <r>
    <x v="380"/>
    <s v="Clerical Assistant"/>
    <x v="4"/>
    <n v="1225"/>
    <n v="80"/>
    <n v="20"/>
    <x v="4"/>
    <n v="351900"/>
    <s v="Yes"/>
    <x v="9"/>
  </r>
  <r>
    <x v="381"/>
    <s v="Bank Clerk"/>
    <x v="8"/>
    <n v="345"/>
    <n v="79"/>
    <n v="21"/>
    <x v="4"/>
    <n v="372997"/>
    <s v="Yes"/>
    <x v="8"/>
  </r>
  <r>
    <x v="382"/>
    <s v="Billing Clerk"/>
    <x v="3"/>
    <n v="4368"/>
    <n v="76"/>
    <n v="24"/>
    <x v="1"/>
    <n v="267299"/>
    <s v="Yes"/>
    <x v="7"/>
  </r>
  <r>
    <x v="383"/>
    <s v="Cleaner"/>
    <x v="16"/>
    <n v="2058"/>
    <n v="42"/>
    <n v="58"/>
    <x v="0"/>
    <n v="537424"/>
    <s v="No"/>
    <x v="7"/>
  </r>
  <r>
    <x v="384"/>
    <s v="Warehouse Assistant"/>
    <x v="13"/>
    <n v="4128"/>
    <n v="53"/>
    <n v="47"/>
    <x v="3"/>
    <n v="446674"/>
    <s v="Yes"/>
    <x v="5"/>
  </r>
  <r>
    <x v="385"/>
    <s v="Taxi Driver"/>
    <x v="6"/>
    <n v="4679"/>
    <n v="85"/>
    <n v="15"/>
    <x v="0"/>
    <n v="452833"/>
    <s v="Yes"/>
    <x v="12"/>
  </r>
  <r>
    <x v="386"/>
    <s v="Bank Clerk"/>
    <x v="8"/>
    <n v="3978"/>
    <n v="47"/>
    <n v="53"/>
    <x v="2"/>
    <n v="492805"/>
    <s v="No"/>
    <x v="10"/>
  </r>
  <r>
    <x v="387"/>
    <s v="Food Delivery Executive"/>
    <x v="13"/>
    <n v="1176"/>
    <n v="85"/>
    <n v="15"/>
    <x v="5"/>
    <n v="497219"/>
    <s v="Yes"/>
    <x v="1"/>
  </r>
  <r>
    <x v="388"/>
    <s v="Help Desk Technician"/>
    <x v="1"/>
    <n v="1024"/>
    <n v="45"/>
    <n v="55"/>
    <x v="5"/>
    <n v="358027"/>
    <s v="No"/>
    <x v="2"/>
  </r>
  <r>
    <x v="389"/>
    <s v="Technical Support Staff"/>
    <x v="2"/>
    <n v="4321"/>
    <n v="67"/>
    <n v="33"/>
    <x v="5"/>
    <n v="342845"/>
    <s v="Yes"/>
    <x v="5"/>
  </r>
  <r>
    <x v="390"/>
    <s v="Customer Support Rep"/>
    <x v="12"/>
    <n v="2936"/>
    <n v="52"/>
    <n v="48"/>
    <x v="3"/>
    <n v="366067"/>
    <s v="Yes"/>
    <x v="4"/>
  </r>
  <r>
    <x v="391"/>
    <s v="Billing Clerk"/>
    <x v="3"/>
    <n v="3206"/>
    <n v="65"/>
    <n v="35"/>
    <x v="2"/>
    <n v="448994"/>
    <s v="Yes"/>
    <x v="11"/>
  </r>
  <r>
    <x v="392"/>
    <s v="Technical Support Staff"/>
    <x v="2"/>
    <n v="4803"/>
    <n v="67"/>
    <n v="33"/>
    <x v="4"/>
    <n v="359274"/>
    <s v="Yes"/>
    <x v="2"/>
  </r>
  <r>
    <x v="393"/>
    <s v="Receptionist"/>
    <x v="7"/>
    <n v="4252"/>
    <n v="77"/>
    <n v="23"/>
    <x v="2"/>
    <n v="285486"/>
    <s v="Yes"/>
    <x v="14"/>
  </r>
  <r>
    <x v="394"/>
    <s v="Cleaner"/>
    <x v="16"/>
    <n v="1479"/>
    <n v="66"/>
    <n v="34"/>
    <x v="0"/>
    <n v="373983"/>
    <s v="Yes"/>
    <x v="3"/>
  </r>
  <r>
    <x v="395"/>
    <s v="News Reporter"/>
    <x v="0"/>
    <n v="1674"/>
    <n v="85"/>
    <n v="15"/>
    <x v="2"/>
    <n v="562759"/>
    <s v="Yes"/>
    <x v="3"/>
  </r>
  <r>
    <x v="396"/>
    <s v="Technical Support Staff"/>
    <x v="2"/>
    <n v="1542"/>
    <n v="69"/>
    <n v="31"/>
    <x v="5"/>
    <n v="530219"/>
    <s v="Yes"/>
    <x v="9"/>
  </r>
  <r>
    <x v="397"/>
    <s v="Parking Attendant"/>
    <x v="6"/>
    <n v="4502"/>
    <n v="83"/>
    <n v="17"/>
    <x v="2"/>
    <n v="274692"/>
    <s v="Yes"/>
    <x v="4"/>
  </r>
  <r>
    <x v="398"/>
    <s v="Parking Attendant"/>
    <x v="6"/>
    <n v="448"/>
    <n v="80"/>
    <n v="20"/>
    <x v="0"/>
    <n v="227185"/>
    <s v="Yes"/>
    <x v="13"/>
  </r>
  <r>
    <x v="399"/>
    <s v="Help Desk Technician"/>
    <x v="1"/>
    <n v="4575"/>
    <n v="47"/>
    <n v="53"/>
    <x v="4"/>
    <n v="241960"/>
    <s v="No"/>
    <x v="13"/>
  </r>
  <r>
    <x v="400"/>
    <s v="Call Center Agent"/>
    <x v="17"/>
    <n v="3711"/>
    <n v="42"/>
    <n v="58"/>
    <x v="2"/>
    <n v="547649"/>
    <s v="No"/>
    <x v="3"/>
  </r>
  <r>
    <x v="401"/>
    <s v="Billing Clerk"/>
    <x v="3"/>
    <n v="1425"/>
    <n v="63"/>
    <n v="37"/>
    <x v="5"/>
    <n v="316244"/>
    <s v="Yes"/>
    <x v="0"/>
  </r>
  <r>
    <x v="402"/>
    <s v="Customer Support Rep"/>
    <x v="12"/>
    <n v="4074"/>
    <n v="69"/>
    <n v="31"/>
    <x v="4"/>
    <n v="392933"/>
    <s v="Yes"/>
    <x v="12"/>
  </r>
  <r>
    <x v="403"/>
    <s v="Billing Clerk"/>
    <x v="3"/>
    <n v="778"/>
    <n v="57"/>
    <n v="43"/>
    <x v="1"/>
    <n v="488872"/>
    <s v="Yes"/>
    <x v="13"/>
  </r>
  <r>
    <x v="404"/>
    <s v="Retail Cashier"/>
    <x v="11"/>
    <n v="4534"/>
    <n v="48"/>
    <n v="52"/>
    <x v="5"/>
    <n v="223319"/>
    <s v="No"/>
    <x v="2"/>
  </r>
  <r>
    <x v="405"/>
    <s v="Machine Operator"/>
    <x v="9"/>
    <n v="4143"/>
    <n v="48"/>
    <n v="52"/>
    <x v="4"/>
    <n v="338098"/>
    <s v="No"/>
    <x v="10"/>
  </r>
  <r>
    <x v="406"/>
    <s v="Food Delivery Executive"/>
    <x v="13"/>
    <n v="3610"/>
    <n v="83"/>
    <n v="17"/>
    <x v="2"/>
    <n v="311850"/>
    <s v="Yes"/>
    <x v="13"/>
  </r>
  <r>
    <x v="407"/>
    <s v="Retail Cashier"/>
    <x v="11"/>
    <n v="1103"/>
    <n v="84"/>
    <n v="16"/>
    <x v="4"/>
    <n v="349606"/>
    <s v="Yes"/>
    <x v="9"/>
  </r>
  <r>
    <x v="408"/>
    <s v="Bank Clerk"/>
    <x v="8"/>
    <n v="3032"/>
    <n v="84"/>
    <n v="16"/>
    <x v="3"/>
    <n v="480075"/>
    <s v="Yes"/>
    <x v="11"/>
  </r>
  <r>
    <x v="409"/>
    <s v="Clerical Assistant"/>
    <x v="4"/>
    <n v="2463"/>
    <n v="59"/>
    <n v="41"/>
    <x v="0"/>
    <n v="348958"/>
    <s v="Yes"/>
    <x v="0"/>
  </r>
  <r>
    <x v="410"/>
    <s v="Retail Cashier"/>
    <x v="11"/>
    <n v="513"/>
    <n v="69"/>
    <n v="31"/>
    <x v="3"/>
    <n v="332723"/>
    <s v="Yes"/>
    <x v="10"/>
  </r>
  <r>
    <x v="411"/>
    <s v="Library Assistant"/>
    <x v="10"/>
    <n v="3518"/>
    <n v="80"/>
    <n v="20"/>
    <x v="1"/>
    <n v="579900"/>
    <s v="Yes"/>
    <x v="11"/>
  </r>
  <r>
    <x v="412"/>
    <s v="Receptionist"/>
    <x v="7"/>
    <n v="3918"/>
    <n v="62"/>
    <n v="38"/>
    <x v="5"/>
    <n v="587602"/>
    <s v="Yes"/>
    <x v="7"/>
  </r>
  <r>
    <x v="413"/>
    <s v="Cleaner"/>
    <x v="16"/>
    <n v="1547"/>
    <n v="75"/>
    <n v="25"/>
    <x v="5"/>
    <n v="506305"/>
    <s v="Yes"/>
    <x v="1"/>
  </r>
  <r>
    <x v="414"/>
    <s v="Technical Support Staff"/>
    <x v="2"/>
    <n v="3178"/>
    <n v="67"/>
    <n v="33"/>
    <x v="4"/>
    <n v="358940"/>
    <s v="Yes"/>
    <x v="11"/>
  </r>
  <r>
    <x v="415"/>
    <s v="Cleaner"/>
    <x v="16"/>
    <n v="2163"/>
    <n v="69"/>
    <n v="31"/>
    <x v="1"/>
    <n v="342236"/>
    <s v="Yes"/>
    <x v="0"/>
  </r>
  <r>
    <x v="416"/>
    <s v="Customer Support Rep"/>
    <x v="12"/>
    <n v="3215"/>
    <n v="83"/>
    <n v="17"/>
    <x v="3"/>
    <n v="534252"/>
    <s v="Yes"/>
    <x v="8"/>
  </r>
  <r>
    <x v="417"/>
    <s v="Library Assistant"/>
    <x v="10"/>
    <n v="909"/>
    <n v="72"/>
    <n v="28"/>
    <x v="0"/>
    <n v="557042"/>
    <s v="Yes"/>
    <x v="2"/>
  </r>
  <r>
    <x v="418"/>
    <s v="Security Guard"/>
    <x v="15"/>
    <n v="1298"/>
    <n v="61"/>
    <n v="39"/>
    <x v="2"/>
    <n v="292314"/>
    <s v="Yes"/>
    <x v="13"/>
  </r>
  <r>
    <x v="419"/>
    <s v="Cleaner"/>
    <x v="16"/>
    <n v="1775"/>
    <n v="75"/>
    <n v="25"/>
    <x v="1"/>
    <n v="464884"/>
    <s v="Yes"/>
    <x v="14"/>
  </r>
  <r>
    <x v="420"/>
    <s v="Help Desk Technician"/>
    <x v="1"/>
    <n v="738"/>
    <n v="47"/>
    <n v="53"/>
    <x v="0"/>
    <n v="406787"/>
    <s v="No"/>
    <x v="3"/>
  </r>
  <r>
    <x v="421"/>
    <s v="Retail Cashier"/>
    <x v="11"/>
    <n v="678"/>
    <n v="41"/>
    <n v="59"/>
    <x v="2"/>
    <n v="276361"/>
    <s v="No"/>
    <x v="10"/>
  </r>
  <r>
    <x v="422"/>
    <s v="Security Guard"/>
    <x v="15"/>
    <n v="1278"/>
    <n v="68"/>
    <n v="32"/>
    <x v="3"/>
    <n v="555642"/>
    <s v="Yes"/>
    <x v="7"/>
  </r>
  <r>
    <x v="423"/>
    <s v="Taxi Driver"/>
    <x v="6"/>
    <n v="1216"/>
    <n v="72"/>
    <n v="28"/>
    <x v="3"/>
    <n v="455884"/>
    <s v="Yes"/>
    <x v="10"/>
  </r>
  <r>
    <x v="424"/>
    <s v="Clerical Assistant"/>
    <x v="4"/>
    <n v="3790"/>
    <n v="61"/>
    <n v="39"/>
    <x v="4"/>
    <n v="180347"/>
    <s v="Yes"/>
    <x v="11"/>
  </r>
  <r>
    <x v="425"/>
    <s v="Receptionist"/>
    <x v="7"/>
    <n v="2401"/>
    <n v="66"/>
    <n v="34"/>
    <x v="2"/>
    <n v="284858"/>
    <s v="Yes"/>
    <x v="4"/>
  </r>
  <r>
    <x v="426"/>
    <s v="Data Entry Clerk"/>
    <x v="14"/>
    <n v="317"/>
    <n v="78"/>
    <n v="22"/>
    <x v="4"/>
    <n v="199977"/>
    <s v="Yes"/>
    <x v="7"/>
  </r>
  <r>
    <x v="427"/>
    <s v="Technical Support Staff"/>
    <x v="2"/>
    <n v="4872"/>
    <n v="64"/>
    <n v="36"/>
    <x v="3"/>
    <n v="210189"/>
    <s v="Yes"/>
    <x v="9"/>
  </r>
  <r>
    <x v="428"/>
    <s v="Clerical Assistant"/>
    <x v="4"/>
    <n v="1093"/>
    <n v="49"/>
    <n v="51"/>
    <x v="0"/>
    <n v="413154"/>
    <s v="No"/>
    <x v="1"/>
  </r>
  <r>
    <x v="429"/>
    <s v="Parking Attendant"/>
    <x v="6"/>
    <n v="4696"/>
    <n v="45"/>
    <n v="55"/>
    <x v="1"/>
    <n v="554351"/>
    <s v="No"/>
    <x v="12"/>
  </r>
  <r>
    <x v="430"/>
    <s v="Parking Attendant"/>
    <x v="6"/>
    <n v="3587"/>
    <n v="85"/>
    <n v="15"/>
    <x v="2"/>
    <n v="222813"/>
    <s v="Yes"/>
    <x v="8"/>
  </r>
  <r>
    <x v="431"/>
    <s v="Data Entry Clerk"/>
    <x v="14"/>
    <n v="3534"/>
    <n v="42"/>
    <n v="58"/>
    <x v="1"/>
    <n v="299405"/>
    <s v="No"/>
    <x v="4"/>
  </r>
  <r>
    <x v="432"/>
    <s v="Retail Cashier"/>
    <x v="11"/>
    <n v="932"/>
    <n v="49"/>
    <n v="51"/>
    <x v="5"/>
    <n v="443925"/>
    <s v="No"/>
    <x v="0"/>
  </r>
  <r>
    <x v="433"/>
    <s v="Food Delivery Executive"/>
    <x v="13"/>
    <n v="4912"/>
    <n v="48"/>
    <n v="52"/>
    <x v="1"/>
    <n v="540293"/>
    <s v="No"/>
    <x v="13"/>
  </r>
  <r>
    <x v="434"/>
    <s v="Help Desk Technician"/>
    <x v="1"/>
    <n v="2671"/>
    <n v="51"/>
    <n v="49"/>
    <x v="0"/>
    <n v="417727"/>
    <s v="Yes"/>
    <x v="2"/>
  </r>
  <r>
    <x v="435"/>
    <s v="Library Assistant"/>
    <x v="10"/>
    <n v="3975"/>
    <n v="44"/>
    <n v="56"/>
    <x v="3"/>
    <n v="534742"/>
    <s v="No"/>
    <x v="14"/>
  </r>
  <r>
    <x v="436"/>
    <s v="News Reporter"/>
    <x v="0"/>
    <n v="814"/>
    <n v="70"/>
    <n v="30"/>
    <x v="1"/>
    <n v="258950"/>
    <s v="Yes"/>
    <x v="8"/>
  </r>
  <r>
    <x v="437"/>
    <s v="Call Center Agent"/>
    <x v="17"/>
    <n v="4096"/>
    <n v="58"/>
    <n v="42"/>
    <x v="2"/>
    <n v="420404"/>
    <s v="Yes"/>
    <x v="5"/>
  </r>
  <r>
    <x v="438"/>
    <s v="Taxi Driver"/>
    <x v="6"/>
    <n v="1266"/>
    <n v="83"/>
    <n v="17"/>
    <x v="4"/>
    <n v="353891"/>
    <s v="Yes"/>
    <x v="9"/>
  </r>
  <r>
    <x v="439"/>
    <s v="Bank Clerk"/>
    <x v="8"/>
    <n v="4136"/>
    <n v="74"/>
    <n v="26"/>
    <x v="2"/>
    <n v="566057"/>
    <s v="Yes"/>
    <x v="1"/>
  </r>
  <r>
    <x v="440"/>
    <s v="Technical Support Staff"/>
    <x v="2"/>
    <n v="1471"/>
    <n v="40"/>
    <n v="60"/>
    <x v="5"/>
    <n v="454469"/>
    <s v="No"/>
    <x v="12"/>
  </r>
  <r>
    <x v="441"/>
    <s v="Cleaner"/>
    <x v="16"/>
    <n v="573"/>
    <n v="46"/>
    <n v="54"/>
    <x v="4"/>
    <n v="372561"/>
    <s v="No"/>
    <x v="9"/>
  </r>
  <r>
    <x v="442"/>
    <s v="Machine Operator"/>
    <x v="9"/>
    <n v="1673"/>
    <n v="61"/>
    <n v="39"/>
    <x v="2"/>
    <n v="549070"/>
    <s v="Yes"/>
    <x v="7"/>
  </r>
  <r>
    <x v="443"/>
    <s v="Warehouse Assistant"/>
    <x v="13"/>
    <n v="737"/>
    <n v="66"/>
    <n v="34"/>
    <x v="1"/>
    <n v="362459"/>
    <s v="Yes"/>
    <x v="6"/>
  </r>
  <r>
    <x v="444"/>
    <s v="Food Delivery Executive"/>
    <x v="13"/>
    <n v="4768"/>
    <n v="57"/>
    <n v="43"/>
    <x v="1"/>
    <n v="324029"/>
    <s v="Yes"/>
    <x v="6"/>
  </r>
  <r>
    <x v="445"/>
    <s v="Security Guard"/>
    <x v="15"/>
    <n v="1804"/>
    <n v="77"/>
    <n v="23"/>
    <x v="5"/>
    <n v="573344"/>
    <s v="Yes"/>
    <x v="5"/>
  </r>
  <r>
    <x v="446"/>
    <s v="News Reporter"/>
    <x v="0"/>
    <n v="3889"/>
    <n v="81"/>
    <n v="19"/>
    <x v="5"/>
    <n v="348106"/>
    <s v="Yes"/>
    <x v="7"/>
  </r>
  <r>
    <x v="447"/>
    <s v="Machine Operator"/>
    <x v="9"/>
    <n v="611"/>
    <n v="52"/>
    <n v="48"/>
    <x v="1"/>
    <n v="521700"/>
    <s v="Yes"/>
    <x v="5"/>
  </r>
  <r>
    <x v="448"/>
    <s v="Warehouse Assistant"/>
    <x v="13"/>
    <n v="721"/>
    <n v="57"/>
    <n v="43"/>
    <x v="3"/>
    <n v="332899"/>
    <s v="Yes"/>
    <x v="14"/>
  </r>
  <r>
    <x v="449"/>
    <s v="Security Guard"/>
    <x v="15"/>
    <n v="3062"/>
    <n v="81"/>
    <n v="19"/>
    <x v="1"/>
    <n v="511943"/>
    <s v="Yes"/>
    <x v="11"/>
  </r>
  <r>
    <x v="450"/>
    <s v="News Reporter"/>
    <x v="0"/>
    <n v="1720"/>
    <n v="78"/>
    <n v="22"/>
    <x v="4"/>
    <n v="290883"/>
    <s v="Yes"/>
    <x v="9"/>
  </r>
  <r>
    <x v="451"/>
    <s v="Food Delivery Executive"/>
    <x v="13"/>
    <n v="989"/>
    <n v="68"/>
    <n v="32"/>
    <x v="3"/>
    <n v="568671"/>
    <s v="Yes"/>
    <x v="0"/>
  </r>
  <r>
    <x v="452"/>
    <s v="Billing Clerk"/>
    <x v="3"/>
    <n v="3224"/>
    <n v="76"/>
    <n v="24"/>
    <x v="3"/>
    <n v="297706"/>
    <s v="Yes"/>
    <x v="3"/>
  </r>
  <r>
    <x v="453"/>
    <s v="Receptionist"/>
    <x v="7"/>
    <n v="2660"/>
    <n v="45"/>
    <n v="55"/>
    <x v="2"/>
    <n v="560883"/>
    <s v="No"/>
    <x v="5"/>
  </r>
  <r>
    <x v="454"/>
    <s v="Cleaner"/>
    <x v="16"/>
    <n v="2363"/>
    <n v="52"/>
    <n v="48"/>
    <x v="2"/>
    <n v="467509"/>
    <s v="Yes"/>
    <x v="9"/>
  </r>
  <r>
    <x v="455"/>
    <s v="Food Delivery Executive"/>
    <x v="13"/>
    <n v="4185"/>
    <n v="52"/>
    <n v="48"/>
    <x v="4"/>
    <n v="580733"/>
    <s v="Yes"/>
    <x v="9"/>
  </r>
  <r>
    <x v="456"/>
    <s v="Retail Cashier"/>
    <x v="11"/>
    <n v="3297"/>
    <n v="59"/>
    <n v="41"/>
    <x v="2"/>
    <n v="587013"/>
    <s v="Yes"/>
    <x v="6"/>
  </r>
  <r>
    <x v="457"/>
    <s v="Receptionist"/>
    <x v="7"/>
    <n v="3422"/>
    <n v="59"/>
    <n v="41"/>
    <x v="5"/>
    <n v="472125"/>
    <s v="Yes"/>
    <x v="12"/>
  </r>
  <r>
    <x v="458"/>
    <s v="Data Entry Clerk"/>
    <x v="14"/>
    <n v="4340"/>
    <n v="63"/>
    <n v="37"/>
    <x v="4"/>
    <n v="224879"/>
    <s v="Yes"/>
    <x v="14"/>
  </r>
  <r>
    <x v="459"/>
    <s v="Warehouse Assistant"/>
    <x v="13"/>
    <n v="4615"/>
    <n v="82"/>
    <n v="18"/>
    <x v="3"/>
    <n v="528206"/>
    <s v="Yes"/>
    <x v="13"/>
  </r>
  <r>
    <x v="460"/>
    <s v="Cleaner"/>
    <x v="16"/>
    <n v="4779"/>
    <n v="84"/>
    <n v="16"/>
    <x v="5"/>
    <n v="460142"/>
    <s v="Yes"/>
    <x v="0"/>
  </r>
  <r>
    <x v="461"/>
    <s v="Retail Cashier"/>
    <x v="11"/>
    <n v="668"/>
    <n v="43"/>
    <n v="57"/>
    <x v="1"/>
    <n v="409486"/>
    <s v="No"/>
    <x v="12"/>
  </r>
  <r>
    <x v="462"/>
    <s v="Bank Clerk"/>
    <x v="8"/>
    <n v="4664"/>
    <n v="56"/>
    <n v="44"/>
    <x v="3"/>
    <n v="406890"/>
    <s v="Yes"/>
    <x v="14"/>
  </r>
  <r>
    <x v="463"/>
    <s v="Machine Operator"/>
    <x v="9"/>
    <n v="3975"/>
    <n v="76"/>
    <n v="24"/>
    <x v="3"/>
    <n v="485946"/>
    <s v="Yes"/>
    <x v="9"/>
  </r>
  <r>
    <x v="464"/>
    <s v="Data Entry Clerk"/>
    <x v="14"/>
    <n v="712"/>
    <n v="51"/>
    <n v="49"/>
    <x v="0"/>
    <n v="236399"/>
    <s v="Yes"/>
    <x v="5"/>
  </r>
  <r>
    <x v="465"/>
    <s v="Call Center Agent"/>
    <x v="17"/>
    <n v="455"/>
    <n v="62"/>
    <n v="38"/>
    <x v="2"/>
    <n v="335942"/>
    <s v="Yes"/>
    <x v="7"/>
  </r>
  <r>
    <x v="466"/>
    <s v="Technical Support Staff"/>
    <x v="2"/>
    <n v="2432"/>
    <n v="76"/>
    <n v="24"/>
    <x v="2"/>
    <n v="205049"/>
    <s v="Yes"/>
    <x v="3"/>
  </r>
  <r>
    <x v="467"/>
    <s v="Taxi Driver"/>
    <x v="6"/>
    <n v="2719"/>
    <n v="68"/>
    <n v="32"/>
    <x v="2"/>
    <n v="534791"/>
    <s v="Yes"/>
    <x v="4"/>
  </r>
  <r>
    <x v="468"/>
    <s v="Food Delivery Executive"/>
    <x v="13"/>
    <n v="3685"/>
    <n v="69"/>
    <n v="31"/>
    <x v="0"/>
    <n v="572336"/>
    <s v="Yes"/>
    <x v="8"/>
  </r>
  <r>
    <x v="469"/>
    <s v="Retail Cashier"/>
    <x v="11"/>
    <n v="4894"/>
    <n v="80"/>
    <n v="20"/>
    <x v="0"/>
    <n v="270627"/>
    <s v="Yes"/>
    <x v="1"/>
  </r>
  <r>
    <x v="470"/>
    <s v="Call Center Agent"/>
    <x v="17"/>
    <n v="2888"/>
    <n v="68"/>
    <n v="32"/>
    <x v="2"/>
    <n v="316327"/>
    <s v="Yes"/>
    <x v="3"/>
  </r>
  <r>
    <x v="471"/>
    <s v="Travel Agent"/>
    <x v="5"/>
    <n v="2769"/>
    <n v="52"/>
    <n v="48"/>
    <x v="2"/>
    <n v="324412"/>
    <s v="Yes"/>
    <x v="5"/>
  </r>
  <r>
    <x v="472"/>
    <s v="Library Assistant"/>
    <x v="10"/>
    <n v="622"/>
    <n v="77"/>
    <n v="23"/>
    <x v="5"/>
    <n v="222559"/>
    <s v="Yes"/>
    <x v="0"/>
  </r>
  <r>
    <x v="473"/>
    <s v="Technical Support Staff"/>
    <x v="2"/>
    <n v="3662"/>
    <n v="68"/>
    <n v="32"/>
    <x v="4"/>
    <n v="518128"/>
    <s v="Yes"/>
    <x v="10"/>
  </r>
  <r>
    <x v="474"/>
    <s v="Warehouse Assistant"/>
    <x v="13"/>
    <n v="3927"/>
    <n v="50"/>
    <n v="50"/>
    <x v="5"/>
    <n v="270398"/>
    <s v="No"/>
    <x v="6"/>
  </r>
  <r>
    <x v="475"/>
    <s v="News Reporter"/>
    <x v="0"/>
    <n v="3297"/>
    <n v="76"/>
    <n v="24"/>
    <x v="0"/>
    <n v="294165"/>
    <s v="Yes"/>
    <x v="2"/>
  </r>
  <r>
    <x v="476"/>
    <s v="Retail Cashier"/>
    <x v="11"/>
    <n v="2565"/>
    <n v="83"/>
    <n v="17"/>
    <x v="1"/>
    <n v="358679"/>
    <s v="Yes"/>
    <x v="12"/>
  </r>
  <r>
    <x v="477"/>
    <s v="Retail Cashier"/>
    <x v="11"/>
    <n v="2423"/>
    <n v="58"/>
    <n v="42"/>
    <x v="3"/>
    <n v="384486"/>
    <s v="Yes"/>
    <x v="12"/>
  </r>
  <r>
    <x v="478"/>
    <s v="Technical Support Staff"/>
    <x v="2"/>
    <n v="973"/>
    <n v="71"/>
    <n v="29"/>
    <x v="4"/>
    <n v="392303"/>
    <s v="Yes"/>
    <x v="0"/>
  </r>
  <r>
    <x v="479"/>
    <s v="Data Entry Clerk"/>
    <x v="14"/>
    <n v="312"/>
    <n v="44"/>
    <n v="56"/>
    <x v="3"/>
    <n v="564053"/>
    <s v="No"/>
    <x v="4"/>
  </r>
  <r>
    <x v="480"/>
    <s v="Library Assistant"/>
    <x v="10"/>
    <n v="400"/>
    <n v="52"/>
    <n v="48"/>
    <x v="2"/>
    <n v="343828"/>
    <s v="Yes"/>
    <x v="1"/>
  </r>
  <r>
    <x v="481"/>
    <s v="Travel Agent"/>
    <x v="5"/>
    <n v="3913"/>
    <n v="74"/>
    <n v="26"/>
    <x v="5"/>
    <n v="186849"/>
    <s v="Yes"/>
    <x v="12"/>
  </r>
  <r>
    <x v="482"/>
    <s v="Billing Clerk"/>
    <x v="3"/>
    <n v="1307"/>
    <n v="80"/>
    <n v="20"/>
    <x v="0"/>
    <n v="444811"/>
    <s v="Yes"/>
    <x v="14"/>
  </r>
  <r>
    <x v="483"/>
    <s v="Cleaner"/>
    <x v="16"/>
    <n v="306"/>
    <n v="49"/>
    <n v="51"/>
    <x v="4"/>
    <n v="490771"/>
    <s v="No"/>
    <x v="8"/>
  </r>
  <r>
    <x v="484"/>
    <s v="Cleaner"/>
    <x v="16"/>
    <n v="4664"/>
    <n v="64"/>
    <n v="36"/>
    <x v="1"/>
    <n v="303321"/>
    <s v="Yes"/>
    <x v="7"/>
  </r>
  <r>
    <x v="485"/>
    <s v="Customer Support Rep"/>
    <x v="12"/>
    <n v="2540"/>
    <n v="61"/>
    <n v="39"/>
    <x v="4"/>
    <n v="258680"/>
    <s v="Yes"/>
    <x v="7"/>
  </r>
  <r>
    <x v="486"/>
    <s v="Food Delivery Executive"/>
    <x v="13"/>
    <n v="1905"/>
    <n v="73"/>
    <n v="27"/>
    <x v="4"/>
    <n v="456671"/>
    <s v="Yes"/>
    <x v="13"/>
  </r>
  <r>
    <x v="487"/>
    <s v="Bank Clerk"/>
    <x v="8"/>
    <n v="4135"/>
    <n v="78"/>
    <n v="22"/>
    <x v="1"/>
    <n v="205506"/>
    <s v="Yes"/>
    <x v="7"/>
  </r>
  <r>
    <x v="488"/>
    <s v="Machine Operator"/>
    <x v="9"/>
    <n v="4984"/>
    <n v="76"/>
    <n v="24"/>
    <x v="0"/>
    <n v="348645"/>
    <s v="Yes"/>
    <x v="2"/>
  </r>
  <r>
    <x v="489"/>
    <s v="Technical Support Staff"/>
    <x v="2"/>
    <n v="3086"/>
    <n v="51"/>
    <n v="49"/>
    <x v="3"/>
    <n v="446990"/>
    <s v="Yes"/>
    <x v="7"/>
  </r>
  <r>
    <x v="490"/>
    <s v="Food Delivery Executive"/>
    <x v="13"/>
    <n v="2915"/>
    <n v="62"/>
    <n v="38"/>
    <x v="0"/>
    <n v="204277"/>
    <s v="Yes"/>
    <x v="11"/>
  </r>
  <r>
    <x v="491"/>
    <s v="Library Assistant"/>
    <x v="10"/>
    <n v="4842"/>
    <n v="53"/>
    <n v="47"/>
    <x v="1"/>
    <n v="346419"/>
    <s v="Yes"/>
    <x v="14"/>
  </r>
  <r>
    <x v="492"/>
    <s v="Bank Clerk"/>
    <x v="8"/>
    <n v="2955"/>
    <n v="65"/>
    <n v="35"/>
    <x v="2"/>
    <n v="447980"/>
    <s v="Yes"/>
    <x v="12"/>
  </r>
  <r>
    <x v="493"/>
    <s v="Retail Cashier"/>
    <x v="11"/>
    <n v="4979"/>
    <n v="85"/>
    <n v="15"/>
    <x v="3"/>
    <n v="279851"/>
    <s v="Yes"/>
    <x v="6"/>
  </r>
  <r>
    <x v="494"/>
    <s v="Customer Support Rep"/>
    <x v="12"/>
    <n v="2696"/>
    <n v="62"/>
    <n v="38"/>
    <x v="0"/>
    <n v="552627"/>
    <s v="Yes"/>
    <x v="12"/>
  </r>
  <r>
    <x v="495"/>
    <s v="Taxi Driver"/>
    <x v="6"/>
    <n v="2304"/>
    <n v="42"/>
    <n v="58"/>
    <x v="4"/>
    <n v="495471"/>
    <s v="No"/>
    <x v="1"/>
  </r>
  <r>
    <x v="496"/>
    <s v="Retail Cashier"/>
    <x v="11"/>
    <n v="708"/>
    <n v="46"/>
    <n v="54"/>
    <x v="3"/>
    <n v="545770"/>
    <s v="No"/>
    <x v="5"/>
  </r>
  <r>
    <x v="497"/>
    <s v="News Reporter"/>
    <x v="0"/>
    <n v="4642"/>
    <n v="59"/>
    <n v="41"/>
    <x v="3"/>
    <n v="596645"/>
    <s v="Yes"/>
    <x v="13"/>
  </r>
  <r>
    <x v="498"/>
    <s v="Customer Support Rep"/>
    <x v="12"/>
    <n v="3012"/>
    <n v="40"/>
    <n v="60"/>
    <x v="0"/>
    <n v="201251"/>
    <s v="No"/>
    <x v="5"/>
  </r>
  <r>
    <x v="499"/>
    <s v="Help Desk Technician"/>
    <x v="1"/>
    <n v="1575"/>
    <n v="42"/>
    <n v="58"/>
    <x v="3"/>
    <n v="369944"/>
    <s v="No"/>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0462C6-4ECE-4FAB-88CD-9A37A0551D3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2" firstHeaderRow="1" firstDataRow="1" firstDataCol="1"/>
  <pivotFields count="10">
    <pivotField showAll="0"/>
    <pivotField showAll="0"/>
    <pivotField axis="axisRow" showAll="0">
      <items count="19">
        <item x="4"/>
        <item x="14"/>
        <item x="8"/>
        <item x="17"/>
        <item x="10"/>
        <item x="3"/>
        <item x="7"/>
        <item x="2"/>
        <item x="13"/>
        <item x="16"/>
        <item x="9"/>
        <item x="0"/>
        <item x="11"/>
        <item x="15"/>
        <item x="12"/>
        <item x="1"/>
        <item x="5"/>
        <item x="6"/>
        <item t="default"/>
      </items>
    </pivotField>
    <pivotField showAll="0"/>
    <pivotField dataField="1" showAll="0"/>
    <pivotField showAll="0"/>
    <pivotField showAll="0">
      <items count="7">
        <item x="4"/>
        <item x="1"/>
        <item x="5"/>
        <item x="3"/>
        <item x="0"/>
        <item x="2"/>
        <item t="default"/>
      </items>
    </pivotField>
    <pivotField showAll="0"/>
    <pivotField showAll="0"/>
    <pivotField showAll="0">
      <items count="16">
        <item x="11"/>
        <item x="8"/>
        <item x="2"/>
        <item x="3"/>
        <item x="0"/>
        <item x="7"/>
        <item x="1"/>
        <item x="12"/>
        <item x="9"/>
        <item x="13"/>
        <item x="6"/>
        <item x="14"/>
        <item x="5"/>
        <item x="10"/>
        <item x="4"/>
        <item t="default"/>
      </items>
    </pivotField>
  </pivotFields>
  <rowFields count="1">
    <field x="2"/>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At_Risk_Percent" fld="4"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CBA41B-FD37-4D12-82C3-FA08F8DB90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9" firstHeaderRow="1" firstDataRow="1" firstDataCol="1"/>
  <pivotFields count="10">
    <pivotField showAll="0"/>
    <pivotField showAll="0"/>
    <pivotField showAll="0">
      <items count="19">
        <item x="4"/>
        <item x="14"/>
        <item x="8"/>
        <item x="17"/>
        <item x="10"/>
        <item x="3"/>
        <item x="7"/>
        <item x="2"/>
        <item x="13"/>
        <item x="16"/>
        <item x="9"/>
        <item x="0"/>
        <item x="11"/>
        <item x="15"/>
        <item x="12"/>
        <item x="1"/>
        <item x="5"/>
        <item x="6"/>
        <item t="default"/>
      </items>
    </pivotField>
    <pivotField showAll="0"/>
    <pivotField dataField="1" showAll="0"/>
    <pivotField showAll="0"/>
    <pivotField showAll="0">
      <items count="7">
        <item x="4"/>
        <item x="1"/>
        <item x="5"/>
        <item x="3"/>
        <item x="0"/>
        <item x="2"/>
        <item t="default"/>
      </items>
    </pivotField>
    <pivotField showAll="0"/>
    <pivotField showAll="0"/>
    <pivotField axis="axisRow" showAll="0">
      <items count="16">
        <item x="11"/>
        <item x="8"/>
        <item x="2"/>
        <item x="3"/>
        <item x="0"/>
        <item x="7"/>
        <item x="1"/>
        <item x="12"/>
        <item x="9"/>
        <item x="13"/>
        <item x="6"/>
        <item x="14"/>
        <item x="5"/>
        <item x="10"/>
        <item x="4"/>
        <item t="default"/>
      </items>
    </pivotField>
  </pivotFields>
  <rowFields count="1">
    <field x="9"/>
  </rowFields>
  <rowItems count="16">
    <i>
      <x/>
    </i>
    <i>
      <x v="1"/>
    </i>
    <i>
      <x v="2"/>
    </i>
    <i>
      <x v="3"/>
    </i>
    <i>
      <x v="4"/>
    </i>
    <i>
      <x v="5"/>
    </i>
    <i>
      <x v="6"/>
    </i>
    <i>
      <x v="7"/>
    </i>
    <i>
      <x v="8"/>
    </i>
    <i>
      <x v="9"/>
    </i>
    <i>
      <x v="10"/>
    </i>
    <i>
      <x v="11"/>
    </i>
    <i>
      <x v="12"/>
    </i>
    <i>
      <x v="13"/>
    </i>
    <i>
      <x v="14"/>
    </i>
    <i t="grand">
      <x/>
    </i>
  </rowItems>
  <colItems count="1">
    <i/>
  </colItems>
  <dataFields count="1">
    <dataField name="Average of At_Risk_Percent" fld="4" subtotal="average" baseField="9"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8AA73D-6828-4D35-B419-BDACB1AA27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22" firstHeaderRow="0" firstDataRow="1" firstDataCol="1"/>
  <pivotFields count="10">
    <pivotField showAll="0"/>
    <pivotField showAll="0"/>
    <pivotField axis="axisRow" showAll="0">
      <items count="19">
        <item x="4"/>
        <item x="14"/>
        <item x="8"/>
        <item x="17"/>
        <item x="10"/>
        <item x="3"/>
        <item x="7"/>
        <item x="2"/>
        <item x="13"/>
        <item x="16"/>
        <item x="9"/>
        <item x="0"/>
        <item x="11"/>
        <item x="15"/>
        <item x="12"/>
        <item x="1"/>
        <item x="5"/>
        <item x="6"/>
        <item t="default"/>
      </items>
    </pivotField>
    <pivotField dataField="1" showAll="0"/>
    <pivotField showAll="0"/>
    <pivotField dataField="1" showAll="0"/>
    <pivotField showAll="0">
      <items count="7">
        <item x="4"/>
        <item x="1"/>
        <item x="5"/>
        <item x="3"/>
        <item x="0"/>
        <item x="2"/>
        <item t="default"/>
      </items>
    </pivotField>
    <pivotField showAll="0"/>
    <pivotField showAll="0"/>
    <pivotField showAll="0">
      <items count="16">
        <item x="11"/>
        <item x="8"/>
        <item x="2"/>
        <item x="3"/>
        <item x="0"/>
        <item x="7"/>
        <item x="1"/>
        <item x="12"/>
        <item x="9"/>
        <item x="13"/>
        <item x="6"/>
        <item x="14"/>
        <item x="5"/>
        <item x="10"/>
        <item x="4"/>
        <item t="default"/>
      </items>
    </pivotField>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Current_Employees" fld="3" baseField="0" baseItem="0"/>
    <dataField name="Sum of Safe_Percent" fld="5" baseField="0" baseItem="0"/>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E4CBDC-91C8-4A5D-8737-63E4739C719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0" firstHeaderRow="1" firstDataRow="1" firstDataCol="1"/>
  <pivotFields count="10">
    <pivotField showAll="0"/>
    <pivotField showAll="0"/>
    <pivotField showAll="0">
      <items count="19">
        <item x="4"/>
        <item x="14"/>
        <item x="8"/>
        <item x="17"/>
        <item x="10"/>
        <item x="3"/>
        <item x="7"/>
        <item x="2"/>
        <item x="13"/>
        <item x="16"/>
        <item x="9"/>
        <item x="0"/>
        <item x="11"/>
        <item x="15"/>
        <item x="12"/>
        <item x="1"/>
        <item x="5"/>
        <item x="6"/>
        <item t="default"/>
      </items>
    </pivotField>
    <pivotField showAll="0"/>
    <pivotField dataField="1" showAll="0"/>
    <pivotField showAll="0"/>
    <pivotField axis="axisRow" showAll="0">
      <items count="7">
        <item x="4"/>
        <item x="1"/>
        <item x="5"/>
        <item x="3"/>
        <item x="0"/>
        <item x="2"/>
        <item t="default"/>
      </items>
    </pivotField>
    <pivotField showAll="0"/>
    <pivotField showAll="0"/>
    <pivotField showAll="0">
      <items count="16">
        <item x="11"/>
        <item x="8"/>
        <item x="2"/>
        <item x="3"/>
        <item x="0"/>
        <item x="7"/>
        <item x="1"/>
        <item x="12"/>
        <item x="9"/>
        <item x="13"/>
        <item x="6"/>
        <item x="14"/>
        <item x="5"/>
        <item x="10"/>
        <item x="4"/>
        <item t="default"/>
      </items>
    </pivotField>
  </pivotFields>
  <rowFields count="1">
    <field x="6"/>
  </rowFields>
  <rowItems count="7">
    <i>
      <x/>
    </i>
    <i>
      <x v="1"/>
    </i>
    <i>
      <x v="2"/>
    </i>
    <i>
      <x v="3"/>
    </i>
    <i>
      <x v="4"/>
    </i>
    <i>
      <x v="5"/>
    </i>
    <i t="grand">
      <x/>
    </i>
  </rowItems>
  <colItems count="1">
    <i/>
  </colItems>
  <dataFields count="1">
    <dataField name="Average of At_Risk_Percent" fld="4" subtotal="average" baseField="6" baseItem="0"/>
  </dataFields>
  <chartFormats count="22">
    <chartFormat chart="4"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6" count="1" selected="0">
            <x v="0"/>
          </reference>
        </references>
      </pivotArea>
    </chartFormat>
    <chartFormat chart="6" format="3">
      <pivotArea type="data" outline="0" fieldPosition="0">
        <references count="2">
          <reference field="4294967294" count="1" selected="0">
            <x v="0"/>
          </reference>
          <reference field="6" count="1" selected="0">
            <x v="1"/>
          </reference>
        </references>
      </pivotArea>
    </chartFormat>
    <chartFormat chart="6" format="4">
      <pivotArea type="data" outline="0" fieldPosition="0">
        <references count="2">
          <reference field="4294967294" count="1" selected="0">
            <x v="0"/>
          </reference>
          <reference field="6" count="1" selected="0">
            <x v="2"/>
          </reference>
        </references>
      </pivotArea>
    </chartFormat>
    <chartFormat chart="6" format="5">
      <pivotArea type="data" outline="0" fieldPosition="0">
        <references count="2">
          <reference field="4294967294" count="1" selected="0">
            <x v="0"/>
          </reference>
          <reference field="6" count="1" selected="0">
            <x v="3"/>
          </reference>
        </references>
      </pivotArea>
    </chartFormat>
    <chartFormat chart="6" format="6">
      <pivotArea type="data" outline="0" fieldPosition="0">
        <references count="2">
          <reference field="4294967294" count="1" selected="0">
            <x v="0"/>
          </reference>
          <reference field="6" count="1" selected="0">
            <x v="4"/>
          </reference>
        </references>
      </pivotArea>
    </chartFormat>
    <chartFormat chart="6" format="7">
      <pivotArea type="data" outline="0" fieldPosition="0">
        <references count="2">
          <reference field="4294967294" count="1" selected="0">
            <x v="0"/>
          </reference>
          <reference field="6" count="1" selected="0">
            <x v="5"/>
          </reference>
        </references>
      </pivotArea>
    </chartFormat>
    <chartFormat chart="7" format="3"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6" count="1" selected="0">
            <x v="0"/>
          </reference>
        </references>
      </pivotArea>
    </chartFormat>
    <chartFormat chart="11" format="10">
      <pivotArea type="data" outline="0" fieldPosition="0">
        <references count="2">
          <reference field="4294967294" count="1" selected="0">
            <x v="0"/>
          </reference>
          <reference field="6" count="1" selected="0">
            <x v="1"/>
          </reference>
        </references>
      </pivotArea>
    </chartFormat>
    <chartFormat chart="11" format="11">
      <pivotArea type="data" outline="0" fieldPosition="0">
        <references count="2">
          <reference field="4294967294" count="1" selected="0">
            <x v="0"/>
          </reference>
          <reference field="6" count="1" selected="0">
            <x v="2"/>
          </reference>
        </references>
      </pivotArea>
    </chartFormat>
    <chartFormat chart="11" format="12">
      <pivotArea type="data" outline="0" fieldPosition="0">
        <references count="2">
          <reference field="4294967294" count="1" selected="0">
            <x v="0"/>
          </reference>
          <reference field="6" count="1" selected="0">
            <x v="3"/>
          </reference>
        </references>
      </pivotArea>
    </chartFormat>
    <chartFormat chart="11" format="13">
      <pivotArea type="data" outline="0" fieldPosition="0">
        <references count="2">
          <reference field="4294967294" count="1" selected="0">
            <x v="0"/>
          </reference>
          <reference field="6" count="1" selected="0">
            <x v="4"/>
          </reference>
        </references>
      </pivotArea>
    </chartFormat>
    <chartFormat chart="11" format="14">
      <pivotArea type="data" outline="0" fieldPosition="0">
        <references count="2">
          <reference field="4294967294" count="1" selected="0">
            <x v="0"/>
          </reference>
          <reference field="6" count="1" selected="0">
            <x v="5"/>
          </reference>
        </references>
      </pivotArea>
    </chartFormat>
    <chartFormat chart="4" format="2">
      <pivotArea type="data" outline="0" fieldPosition="0">
        <references count="2">
          <reference field="4294967294" count="1" selected="0">
            <x v="0"/>
          </reference>
          <reference field="6" count="1" selected="0">
            <x v="2"/>
          </reference>
        </references>
      </pivotArea>
    </chartFormat>
    <chartFormat chart="4" format="3">
      <pivotArea type="data" outline="0" fieldPosition="0">
        <references count="2">
          <reference field="4294967294" count="1" selected="0">
            <x v="0"/>
          </reference>
          <reference field="6" count="1" selected="0">
            <x v="0"/>
          </reference>
        </references>
      </pivotArea>
    </chartFormat>
    <chartFormat chart="4" format="4">
      <pivotArea type="data" outline="0" fieldPosition="0">
        <references count="2">
          <reference field="4294967294" count="1" selected="0">
            <x v="0"/>
          </reference>
          <reference field="6" count="1" selected="0">
            <x v="1"/>
          </reference>
        </references>
      </pivotArea>
    </chartFormat>
    <chartFormat chart="4" format="5">
      <pivotArea type="data" outline="0" fieldPosition="0">
        <references count="2">
          <reference field="4294967294" count="1" selected="0">
            <x v="0"/>
          </reference>
          <reference field="6" count="1" selected="0">
            <x v="3"/>
          </reference>
        </references>
      </pivotArea>
    </chartFormat>
    <chartFormat chart="4" format="6">
      <pivotArea type="data" outline="0" fieldPosition="0">
        <references count="2">
          <reference field="4294967294" count="1" selected="0">
            <x v="0"/>
          </reference>
          <reference field="6" count="1" selected="0">
            <x v="4"/>
          </reference>
        </references>
      </pivotArea>
    </chartFormat>
    <chartFormat chart="4" format="7">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6C5298-A1C7-47C5-B522-559DD37B5BF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9" firstHeaderRow="1" firstDataRow="1" firstDataCol="1"/>
  <pivotFields count="10">
    <pivotField showAll="0"/>
    <pivotField showAll="0"/>
    <pivotField showAll="0"/>
    <pivotField dataField="1" showAll="0"/>
    <pivotField showAll="0"/>
    <pivotField showAll="0"/>
    <pivotField showAll="0">
      <items count="7">
        <item x="4"/>
        <item x="1"/>
        <item x="5"/>
        <item x="3"/>
        <item x="0"/>
        <item x="2"/>
        <item t="default"/>
      </items>
    </pivotField>
    <pivotField showAll="0"/>
    <pivotField showAll="0"/>
    <pivotField axis="axisRow" showAll="0">
      <items count="16">
        <item x="11"/>
        <item x="8"/>
        <item x="2"/>
        <item x="3"/>
        <item x="0"/>
        <item x="7"/>
        <item x="1"/>
        <item x="12"/>
        <item x="9"/>
        <item x="13"/>
        <item x="6"/>
        <item x="14"/>
        <item x="5"/>
        <item x="10"/>
        <item x="4"/>
        <item t="default"/>
      </items>
    </pivotField>
  </pivotFields>
  <rowFields count="1">
    <field x="9"/>
  </rowFields>
  <rowItems count="16">
    <i>
      <x/>
    </i>
    <i>
      <x v="1"/>
    </i>
    <i>
      <x v="2"/>
    </i>
    <i>
      <x v="3"/>
    </i>
    <i>
      <x v="4"/>
    </i>
    <i>
      <x v="5"/>
    </i>
    <i>
      <x v="6"/>
    </i>
    <i>
      <x v="7"/>
    </i>
    <i>
      <x v="8"/>
    </i>
    <i>
      <x v="9"/>
    </i>
    <i>
      <x v="10"/>
    </i>
    <i>
      <x v="11"/>
    </i>
    <i>
      <x v="12"/>
    </i>
    <i>
      <x v="13"/>
    </i>
    <i>
      <x v="14"/>
    </i>
    <i t="grand">
      <x/>
    </i>
  </rowItems>
  <colItems count="1">
    <i/>
  </colItems>
  <dataFields count="1">
    <dataField name="Sum of Current_Employees"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427528-5FB5-4953-A189-722A3CC3644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0">
    <pivotField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measureFilter="1" sortType="descending">
      <items count="19">
        <item x="4"/>
        <item x="14"/>
        <item x="8"/>
        <item x="17"/>
        <item x="10"/>
        <item x="3"/>
        <item x="7"/>
        <item x="2"/>
        <item x="13"/>
        <item x="16"/>
        <item x="9"/>
        <item x="0"/>
        <item x="11"/>
        <item x="15"/>
        <item x="12"/>
        <item x="1"/>
        <item x="5"/>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items count="7">
        <item x="4"/>
        <item x="1"/>
        <item x="5"/>
        <item x="3"/>
        <item x="0"/>
        <item x="2"/>
        <item t="default"/>
      </items>
    </pivotField>
    <pivotField showAll="0"/>
    <pivotField showAll="0"/>
    <pivotField showAll="0">
      <items count="16">
        <item x="11"/>
        <item x="8"/>
        <item x="2"/>
        <item x="3"/>
        <item x="0"/>
        <item x="7"/>
        <item x="1"/>
        <item x="12"/>
        <item x="9"/>
        <item x="13"/>
        <item x="6"/>
        <item x="14"/>
        <item x="5"/>
        <item x="10"/>
        <item x="4"/>
        <item t="default"/>
      </items>
    </pivotField>
  </pivotFields>
  <rowFields count="1">
    <field x="2"/>
  </rowFields>
  <rowItems count="6">
    <i>
      <x v="1"/>
    </i>
    <i>
      <x v="11"/>
    </i>
    <i>
      <x v="5"/>
    </i>
    <i>
      <x v="13"/>
    </i>
    <i>
      <x v="17"/>
    </i>
    <i t="grand">
      <x/>
    </i>
  </rowItems>
  <colItems count="1">
    <i/>
  </colItems>
  <dataFields count="1">
    <dataField name="Average of At_Risk_Percent" fld="4" subtotal="average" baseField="2"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44DD19-9E2F-4C32-95BB-B85A5F80443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0">
    <pivotField showAll="0"/>
    <pivotField showAll="0"/>
    <pivotField showAll="0"/>
    <pivotField dataField="1" showAll="0"/>
    <pivotField dataField="1" showAll="0"/>
    <pivotField dataField="1" showAll="0"/>
    <pivotField showAll="0"/>
    <pivotField showAll="0"/>
    <pivotField showAll="0"/>
    <pivotField showAll="0"/>
  </pivotFields>
  <rowItems count="1">
    <i/>
  </rowItems>
  <colFields count="1">
    <field x="-2"/>
  </colFields>
  <colItems count="3">
    <i>
      <x/>
    </i>
    <i i="1">
      <x v="1"/>
    </i>
    <i i="2">
      <x v="2"/>
    </i>
  </colItems>
  <dataFields count="3">
    <dataField name="Average of At_Risk_Percent" fld="4" subtotal="average" baseField="0" baseItem="0"/>
    <dataField name="Sum of Current_Employees" fld="3" baseField="0" baseItem="0"/>
    <dataField name="Average of Safe_Percent" fld="5"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022EF3C2-B707-4F11-8E69-D0FF9FD0C9D8}" sourceName="Industry">
  <pivotTables>
    <pivotTable tabId="6" name="PivotTable6"/>
    <pivotTable tabId="3" name="PivotTable1"/>
    <pivotTable tabId="4" name="PivotTable2"/>
    <pivotTable tabId="5" name="PivotTable3"/>
  </pivotTables>
  <data>
    <tabular pivotCacheId="67201844">
      <items count="18">
        <i x="4" s="1"/>
        <i x="14" s="1"/>
        <i x="8" s="1"/>
        <i x="17" s="1"/>
        <i x="10" s="1"/>
        <i x="3" s="1"/>
        <i x="7" s="1"/>
        <i x="2" s="1"/>
        <i x="13" s="1"/>
        <i x="16" s="1"/>
        <i x="9" s="1"/>
        <i x="0" s="1"/>
        <i x="11" s="1"/>
        <i x="15" s="1"/>
        <i x="12" s="1"/>
        <i x="1"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stimated_Impact_Year" xr10:uid="{B758CCC2-DF2A-4ED0-8E0E-572A758165F4}" sourceName="Estimated_Impact_Year">
  <pivotTables>
    <pivotTable tabId="3" name="PivotTable1"/>
    <pivotTable tabId="4" name="PivotTable2"/>
    <pivotTable tabId="5" name="PivotTable3"/>
    <pivotTable tabId="6" name="PivotTable6"/>
    <pivotTable tabId="10" name="PivotTable13"/>
    <pivotTable tabId="11" name="PivotTable14"/>
  </pivotTables>
  <data>
    <tabular pivotCacheId="67201844">
      <items count="6">
        <i x="4" s="1"/>
        <i x="1" s="1"/>
        <i x="5"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6B387A45-A723-4325-B42E-CCAF38A43F98}" sourceName="Location">
  <pivotTables>
    <pivotTable tabId="6" name="PivotTable6"/>
    <pivotTable tabId="3" name="PivotTable1"/>
    <pivotTable tabId="4" name="PivotTable2"/>
    <pivotTable tabId="5" name="PivotTable3"/>
    <pivotTable tabId="10" name="PivotTable13"/>
    <pivotTable tabId="11" name="PivotTable14"/>
  </pivotTables>
  <data>
    <tabular pivotCacheId="67201844">
      <items count="15">
        <i x="11" s="1"/>
        <i x="8" s="1"/>
        <i x="2" s="1"/>
        <i x="3" s="1"/>
        <i x="0" s="1"/>
        <i x="7" s="1"/>
        <i x="1" s="1"/>
        <i x="12" s="1"/>
        <i x="9" s="1"/>
        <i x="13" s="1"/>
        <i x="6" s="1"/>
        <i x="14" s="1"/>
        <i x="5" s="1"/>
        <i x="1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30841486-C1E0-4A5D-8A77-62B6E06EEA77}" cache="Slicer_Industry" caption="Industry" rowHeight="241300"/>
  <slicer name="Estimated_Impact_Year" xr10:uid="{99D6A221-2907-4253-8CD0-4C0D1F18C042}" cache="Slicer_Estimated_Impact_Year" caption="Estimated_Impact_Year" rowHeight="241300"/>
  <slicer name="Location" xr10:uid="{AF4911BF-4257-43EB-B67C-A72928D33A43}" cache="Slicer_Location" caption="Locat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1" xr10:uid="{ADD53946-0981-4E3C-9650-3AF5EED52296}" cache="Slicer_Industry" caption="Industry" startItem="13" style="SlicerStyleLight3" rowHeight="241300"/>
  <slicer name="Estimated_Impact_Year 1" xr10:uid="{26924429-B4F3-47C5-A72B-ACA238268368}" cache="Slicer_Estimated_Impact_Year" caption="Estimated_Impact_Year" startItem="1" style="SlicerStyleLight3" rowHeight="241300"/>
  <slicer name="Location 1" xr10:uid="{FEE2F5A3-D7C2-4C26-A8E6-2F51E825D3B3}" cache="Slicer_Location" caption="Location" startItem="2" style="SlicerStyleLight3"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topLeftCell="G1" workbookViewId="0">
      <selection activeCell="B8" sqref="B8"/>
    </sheetView>
  </sheetViews>
  <sheetFormatPr defaultRowHeight="14.25" x14ac:dyDescent="0.45"/>
  <cols>
    <col min="2" max="2" width="21.86328125" customWidth="1"/>
    <col min="3" max="3" width="17.06640625" customWidth="1"/>
    <col min="4" max="4" width="21.796875" customWidth="1"/>
    <col min="5" max="5" width="14.1328125" customWidth="1"/>
    <col min="6" max="6" width="16.9296875" customWidth="1"/>
    <col min="7" max="7" width="22.33203125" customWidth="1"/>
    <col min="8" max="8" width="18.06640625" customWidth="1"/>
    <col min="9" max="9" width="20.265625" customWidth="1"/>
    <col min="10" max="10" width="14.06640625" customWidth="1"/>
  </cols>
  <sheetData>
    <row r="1" spans="1:10" x14ac:dyDescent="0.45">
      <c r="A1" s="1" t="s">
        <v>0</v>
      </c>
      <c r="B1" s="1" t="s">
        <v>1</v>
      </c>
      <c r="C1" s="1" t="s">
        <v>2</v>
      </c>
      <c r="D1" s="1" t="s">
        <v>3</v>
      </c>
      <c r="E1" s="1" t="s">
        <v>4</v>
      </c>
      <c r="F1" s="1" t="s">
        <v>5</v>
      </c>
      <c r="G1" s="1" t="s">
        <v>6</v>
      </c>
      <c r="H1" s="1" t="s">
        <v>7</v>
      </c>
      <c r="I1" s="1" t="s">
        <v>8</v>
      </c>
      <c r="J1" s="1" t="s">
        <v>9</v>
      </c>
    </row>
    <row r="2" spans="1:10" x14ac:dyDescent="0.45">
      <c r="A2">
        <v>1</v>
      </c>
      <c r="B2" t="s">
        <v>10</v>
      </c>
      <c r="C2" t="s">
        <v>30</v>
      </c>
      <c r="D2">
        <v>424</v>
      </c>
      <c r="E2">
        <v>63</v>
      </c>
      <c r="F2">
        <v>37</v>
      </c>
      <c r="G2">
        <v>2024</v>
      </c>
      <c r="H2">
        <v>376041</v>
      </c>
      <c r="I2" t="s">
        <v>48</v>
      </c>
      <c r="J2" t="s">
        <v>50</v>
      </c>
    </row>
    <row r="3" spans="1:10" x14ac:dyDescent="0.45">
      <c r="A3">
        <v>2</v>
      </c>
      <c r="B3" t="s">
        <v>11</v>
      </c>
      <c r="C3" t="s">
        <v>31</v>
      </c>
      <c r="D3">
        <v>2250</v>
      </c>
      <c r="E3">
        <v>56</v>
      </c>
      <c r="F3">
        <v>44</v>
      </c>
      <c r="G3">
        <v>2021</v>
      </c>
      <c r="H3">
        <v>248460</v>
      </c>
      <c r="I3" t="s">
        <v>48</v>
      </c>
      <c r="J3" t="s">
        <v>51</v>
      </c>
    </row>
    <row r="4" spans="1:10" x14ac:dyDescent="0.45">
      <c r="A4">
        <v>3</v>
      </c>
      <c r="B4" t="s">
        <v>12</v>
      </c>
      <c r="C4" t="s">
        <v>32</v>
      </c>
      <c r="D4">
        <v>1971</v>
      </c>
      <c r="E4">
        <v>81</v>
      </c>
      <c r="F4">
        <v>19</v>
      </c>
      <c r="G4">
        <v>2025</v>
      </c>
      <c r="H4">
        <v>386699</v>
      </c>
      <c r="I4" t="s">
        <v>48</v>
      </c>
      <c r="J4" t="s">
        <v>52</v>
      </c>
    </row>
    <row r="5" spans="1:10" x14ac:dyDescent="0.45">
      <c r="A5">
        <v>4</v>
      </c>
      <c r="B5" t="s">
        <v>13</v>
      </c>
      <c r="C5" t="s">
        <v>33</v>
      </c>
      <c r="D5">
        <v>4705</v>
      </c>
      <c r="E5">
        <v>53</v>
      </c>
      <c r="F5">
        <v>47</v>
      </c>
      <c r="G5">
        <v>2024</v>
      </c>
      <c r="H5">
        <v>374182</v>
      </c>
      <c r="I5" t="s">
        <v>48</v>
      </c>
      <c r="J5" t="s">
        <v>53</v>
      </c>
    </row>
    <row r="6" spans="1:10" x14ac:dyDescent="0.45">
      <c r="A6">
        <v>5</v>
      </c>
      <c r="B6" t="s">
        <v>14</v>
      </c>
      <c r="C6" t="s">
        <v>34</v>
      </c>
      <c r="D6">
        <v>2188</v>
      </c>
      <c r="E6">
        <v>51</v>
      </c>
      <c r="F6">
        <v>49</v>
      </c>
      <c r="G6">
        <v>2023</v>
      </c>
      <c r="H6">
        <v>386077</v>
      </c>
      <c r="I6" t="s">
        <v>48</v>
      </c>
      <c r="J6" t="s">
        <v>54</v>
      </c>
    </row>
    <row r="7" spans="1:10" x14ac:dyDescent="0.45">
      <c r="A7">
        <v>6</v>
      </c>
      <c r="B7" t="s">
        <v>15</v>
      </c>
      <c r="C7" t="s">
        <v>35</v>
      </c>
      <c r="D7">
        <v>2352</v>
      </c>
      <c r="E7">
        <v>79</v>
      </c>
      <c r="F7">
        <v>21</v>
      </c>
      <c r="G7">
        <v>2023</v>
      </c>
      <c r="H7">
        <v>443704</v>
      </c>
      <c r="I7" t="s">
        <v>48</v>
      </c>
      <c r="J7" t="s">
        <v>52</v>
      </c>
    </row>
    <row r="8" spans="1:10" x14ac:dyDescent="0.45">
      <c r="A8">
        <v>7</v>
      </c>
      <c r="B8" t="s">
        <v>14</v>
      </c>
      <c r="C8" t="s">
        <v>34</v>
      </c>
      <c r="D8">
        <v>2203</v>
      </c>
      <c r="E8">
        <v>45</v>
      </c>
      <c r="F8">
        <v>55</v>
      </c>
      <c r="G8">
        <v>2023</v>
      </c>
      <c r="H8">
        <v>423421</v>
      </c>
      <c r="I8" t="s">
        <v>49</v>
      </c>
      <c r="J8" t="s">
        <v>50</v>
      </c>
    </row>
    <row r="9" spans="1:10" x14ac:dyDescent="0.45">
      <c r="A9">
        <v>8</v>
      </c>
      <c r="B9" t="s">
        <v>10</v>
      </c>
      <c r="C9" t="s">
        <v>30</v>
      </c>
      <c r="D9">
        <v>4554</v>
      </c>
      <c r="E9">
        <v>51</v>
      </c>
      <c r="F9">
        <v>49</v>
      </c>
      <c r="G9">
        <v>2024</v>
      </c>
      <c r="H9">
        <v>232888</v>
      </c>
      <c r="I9" t="s">
        <v>48</v>
      </c>
      <c r="J9" t="s">
        <v>55</v>
      </c>
    </row>
    <row r="10" spans="1:10" x14ac:dyDescent="0.45">
      <c r="A10">
        <v>9</v>
      </c>
      <c r="B10" t="s">
        <v>16</v>
      </c>
      <c r="C10" t="s">
        <v>36</v>
      </c>
      <c r="D10">
        <v>479</v>
      </c>
      <c r="E10">
        <v>61</v>
      </c>
      <c r="F10">
        <v>39</v>
      </c>
      <c r="G10">
        <v>2023</v>
      </c>
      <c r="H10">
        <v>405897</v>
      </c>
      <c r="I10" t="s">
        <v>48</v>
      </c>
      <c r="J10" t="s">
        <v>51</v>
      </c>
    </row>
    <row r="11" spans="1:10" x14ac:dyDescent="0.45">
      <c r="A11">
        <v>10</v>
      </c>
      <c r="B11" t="s">
        <v>13</v>
      </c>
      <c r="C11" t="s">
        <v>33</v>
      </c>
      <c r="D11">
        <v>3443</v>
      </c>
      <c r="E11">
        <v>40</v>
      </c>
      <c r="F11">
        <v>60</v>
      </c>
      <c r="G11">
        <v>2023</v>
      </c>
      <c r="H11">
        <v>286195</v>
      </c>
      <c r="I11" t="s">
        <v>49</v>
      </c>
      <c r="J11" t="s">
        <v>56</v>
      </c>
    </row>
    <row r="12" spans="1:10" x14ac:dyDescent="0.45">
      <c r="A12">
        <v>11</v>
      </c>
      <c r="B12" t="s">
        <v>17</v>
      </c>
      <c r="C12" t="s">
        <v>37</v>
      </c>
      <c r="D12">
        <v>3060</v>
      </c>
      <c r="E12">
        <v>40</v>
      </c>
      <c r="F12">
        <v>60</v>
      </c>
      <c r="G12">
        <v>2025</v>
      </c>
      <c r="H12">
        <v>235809</v>
      </c>
      <c r="I12" t="s">
        <v>49</v>
      </c>
      <c r="J12" t="s">
        <v>57</v>
      </c>
    </row>
    <row r="13" spans="1:10" x14ac:dyDescent="0.45">
      <c r="A13">
        <v>12</v>
      </c>
      <c r="B13" t="s">
        <v>18</v>
      </c>
      <c r="C13" t="s">
        <v>38</v>
      </c>
      <c r="D13">
        <v>4327</v>
      </c>
      <c r="E13">
        <v>84</v>
      </c>
      <c r="F13">
        <v>16</v>
      </c>
      <c r="G13">
        <v>2025</v>
      </c>
      <c r="H13">
        <v>308904</v>
      </c>
      <c r="I13" t="s">
        <v>48</v>
      </c>
      <c r="J13" t="s">
        <v>52</v>
      </c>
    </row>
    <row r="14" spans="1:10" x14ac:dyDescent="0.45">
      <c r="A14">
        <v>13</v>
      </c>
      <c r="B14" t="s">
        <v>19</v>
      </c>
      <c r="C14" t="s">
        <v>39</v>
      </c>
      <c r="D14">
        <v>2529</v>
      </c>
      <c r="E14">
        <v>42</v>
      </c>
      <c r="F14">
        <v>58</v>
      </c>
      <c r="G14">
        <v>2021</v>
      </c>
      <c r="H14">
        <v>502867</v>
      </c>
      <c r="I14" t="s">
        <v>49</v>
      </c>
      <c r="J14" t="s">
        <v>51</v>
      </c>
    </row>
    <row r="15" spans="1:10" x14ac:dyDescent="0.45">
      <c r="A15">
        <v>14</v>
      </c>
      <c r="B15" t="s">
        <v>10</v>
      </c>
      <c r="C15" t="s">
        <v>30</v>
      </c>
      <c r="D15">
        <v>1680</v>
      </c>
      <c r="E15">
        <v>41</v>
      </c>
      <c r="F15">
        <v>59</v>
      </c>
      <c r="G15">
        <v>2021</v>
      </c>
      <c r="H15">
        <v>431836</v>
      </c>
      <c r="I15" t="s">
        <v>49</v>
      </c>
      <c r="J15" t="s">
        <v>55</v>
      </c>
    </row>
    <row r="16" spans="1:10" x14ac:dyDescent="0.45">
      <c r="A16">
        <v>15</v>
      </c>
      <c r="B16" t="s">
        <v>17</v>
      </c>
      <c r="C16" t="s">
        <v>37</v>
      </c>
      <c r="D16">
        <v>1903</v>
      </c>
      <c r="E16">
        <v>40</v>
      </c>
      <c r="F16">
        <v>60</v>
      </c>
      <c r="G16">
        <v>2020</v>
      </c>
      <c r="H16">
        <v>564160</v>
      </c>
      <c r="I16" t="s">
        <v>49</v>
      </c>
      <c r="J16" t="s">
        <v>58</v>
      </c>
    </row>
    <row r="17" spans="1:10" x14ac:dyDescent="0.45">
      <c r="A17">
        <v>16</v>
      </c>
      <c r="B17" t="s">
        <v>17</v>
      </c>
      <c r="C17" t="s">
        <v>37</v>
      </c>
      <c r="D17">
        <v>983</v>
      </c>
      <c r="E17">
        <v>41</v>
      </c>
      <c r="F17">
        <v>59</v>
      </c>
      <c r="G17">
        <v>2023</v>
      </c>
      <c r="H17">
        <v>255627</v>
      </c>
      <c r="I17" t="s">
        <v>49</v>
      </c>
      <c r="J17" t="s">
        <v>56</v>
      </c>
    </row>
    <row r="18" spans="1:10" x14ac:dyDescent="0.45">
      <c r="A18">
        <v>17</v>
      </c>
      <c r="B18" t="s">
        <v>20</v>
      </c>
      <c r="C18" t="s">
        <v>40</v>
      </c>
      <c r="D18">
        <v>4242</v>
      </c>
      <c r="E18">
        <v>48</v>
      </c>
      <c r="F18">
        <v>52</v>
      </c>
      <c r="G18">
        <v>2022</v>
      </c>
      <c r="H18">
        <v>246774</v>
      </c>
      <c r="I18" t="s">
        <v>49</v>
      </c>
      <c r="J18" t="s">
        <v>59</v>
      </c>
    </row>
    <row r="19" spans="1:10" x14ac:dyDescent="0.45">
      <c r="A19">
        <v>18</v>
      </c>
      <c r="B19" t="s">
        <v>13</v>
      </c>
      <c r="C19" t="s">
        <v>33</v>
      </c>
      <c r="D19">
        <v>3635</v>
      </c>
      <c r="E19">
        <v>50</v>
      </c>
      <c r="F19">
        <v>50</v>
      </c>
      <c r="G19">
        <v>2024</v>
      </c>
      <c r="H19">
        <v>584947</v>
      </c>
      <c r="I19" t="s">
        <v>49</v>
      </c>
      <c r="J19" t="s">
        <v>60</v>
      </c>
    </row>
    <row r="20" spans="1:10" x14ac:dyDescent="0.45">
      <c r="A20">
        <v>19</v>
      </c>
      <c r="B20" t="s">
        <v>21</v>
      </c>
      <c r="C20" t="s">
        <v>41</v>
      </c>
      <c r="D20">
        <v>4048</v>
      </c>
      <c r="E20">
        <v>81</v>
      </c>
      <c r="F20">
        <v>19</v>
      </c>
      <c r="G20">
        <v>2023</v>
      </c>
      <c r="H20">
        <v>444904</v>
      </c>
      <c r="I20" t="s">
        <v>48</v>
      </c>
      <c r="J20" t="s">
        <v>59</v>
      </c>
    </row>
    <row r="21" spans="1:10" x14ac:dyDescent="0.45">
      <c r="A21">
        <v>20</v>
      </c>
      <c r="B21" t="s">
        <v>22</v>
      </c>
      <c r="C21" t="s">
        <v>42</v>
      </c>
      <c r="D21">
        <v>968</v>
      </c>
      <c r="E21">
        <v>55</v>
      </c>
      <c r="F21">
        <v>45</v>
      </c>
      <c r="G21">
        <v>2022</v>
      </c>
      <c r="H21">
        <v>538149</v>
      </c>
      <c r="I21" t="s">
        <v>48</v>
      </c>
      <c r="J21" t="s">
        <v>53</v>
      </c>
    </row>
    <row r="22" spans="1:10" x14ac:dyDescent="0.45">
      <c r="A22">
        <v>21</v>
      </c>
      <c r="B22" t="s">
        <v>23</v>
      </c>
      <c r="C22" t="s">
        <v>43</v>
      </c>
      <c r="D22">
        <v>1070</v>
      </c>
      <c r="E22">
        <v>53</v>
      </c>
      <c r="F22">
        <v>47</v>
      </c>
      <c r="G22">
        <v>2025</v>
      </c>
      <c r="H22">
        <v>327303</v>
      </c>
      <c r="I22" t="s">
        <v>48</v>
      </c>
      <c r="J22" t="s">
        <v>52</v>
      </c>
    </row>
    <row r="23" spans="1:10" x14ac:dyDescent="0.45">
      <c r="A23">
        <v>22</v>
      </c>
      <c r="B23" t="s">
        <v>13</v>
      </c>
      <c r="C23" t="s">
        <v>33</v>
      </c>
      <c r="D23">
        <v>3573</v>
      </c>
      <c r="E23">
        <v>85</v>
      </c>
      <c r="F23">
        <v>15</v>
      </c>
      <c r="G23">
        <v>2021</v>
      </c>
      <c r="H23">
        <v>461476</v>
      </c>
      <c r="I23" t="s">
        <v>48</v>
      </c>
      <c r="J23" t="s">
        <v>51</v>
      </c>
    </row>
    <row r="24" spans="1:10" x14ac:dyDescent="0.45">
      <c r="A24">
        <v>23</v>
      </c>
      <c r="B24" t="s">
        <v>20</v>
      </c>
      <c r="C24" t="s">
        <v>40</v>
      </c>
      <c r="D24">
        <v>1220</v>
      </c>
      <c r="E24">
        <v>53</v>
      </c>
      <c r="F24">
        <v>47</v>
      </c>
      <c r="G24">
        <v>2025</v>
      </c>
      <c r="H24">
        <v>308857</v>
      </c>
      <c r="I24" t="s">
        <v>48</v>
      </c>
      <c r="J24" t="s">
        <v>54</v>
      </c>
    </row>
    <row r="25" spans="1:10" x14ac:dyDescent="0.45">
      <c r="A25">
        <v>24</v>
      </c>
      <c r="B25" t="s">
        <v>24</v>
      </c>
      <c r="C25" t="s">
        <v>44</v>
      </c>
      <c r="D25">
        <v>4296</v>
      </c>
      <c r="E25">
        <v>66</v>
      </c>
      <c r="F25">
        <v>34</v>
      </c>
      <c r="G25">
        <v>2024</v>
      </c>
      <c r="H25">
        <v>282038</v>
      </c>
      <c r="I25" t="s">
        <v>48</v>
      </c>
      <c r="J25" t="s">
        <v>61</v>
      </c>
    </row>
    <row r="26" spans="1:10" x14ac:dyDescent="0.45">
      <c r="A26">
        <v>25</v>
      </c>
      <c r="B26" t="s">
        <v>23</v>
      </c>
      <c r="C26" t="s">
        <v>43</v>
      </c>
      <c r="D26">
        <v>1228</v>
      </c>
      <c r="E26">
        <v>71</v>
      </c>
      <c r="F26">
        <v>29</v>
      </c>
      <c r="G26">
        <v>2025</v>
      </c>
      <c r="H26">
        <v>411608</v>
      </c>
      <c r="I26" t="s">
        <v>48</v>
      </c>
      <c r="J26" t="s">
        <v>62</v>
      </c>
    </row>
    <row r="27" spans="1:10" x14ac:dyDescent="0.45">
      <c r="A27">
        <v>26</v>
      </c>
      <c r="B27" t="s">
        <v>25</v>
      </c>
      <c r="C27" t="s">
        <v>45</v>
      </c>
      <c r="D27">
        <v>3464</v>
      </c>
      <c r="E27">
        <v>73</v>
      </c>
      <c r="F27">
        <v>27</v>
      </c>
      <c r="G27">
        <v>2022</v>
      </c>
      <c r="H27">
        <v>337291</v>
      </c>
      <c r="I27" t="s">
        <v>48</v>
      </c>
      <c r="J27" t="s">
        <v>56</v>
      </c>
    </row>
    <row r="28" spans="1:10" x14ac:dyDescent="0.45">
      <c r="A28">
        <v>27</v>
      </c>
      <c r="B28" t="s">
        <v>10</v>
      </c>
      <c r="C28" t="s">
        <v>30</v>
      </c>
      <c r="D28">
        <v>4836</v>
      </c>
      <c r="E28">
        <v>77</v>
      </c>
      <c r="F28">
        <v>23</v>
      </c>
      <c r="G28">
        <v>2024</v>
      </c>
      <c r="H28">
        <v>471039</v>
      </c>
      <c r="I28" t="s">
        <v>48</v>
      </c>
      <c r="J28" t="s">
        <v>63</v>
      </c>
    </row>
    <row r="29" spans="1:10" x14ac:dyDescent="0.45">
      <c r="A29">
        <v>28</v>
      </c>
      <c r="B29" t="s">
        <v>15</v>
      </c>
      <c r="C29" t="s">
        <v>35</v>
      </c>
      <c r="D29">
        <v>952</v>
      </c>
      <c r="E29">
        <v>48</v>
      </c>
      <c r="F29">
        <v>52</v>
      </c>
      <c r="G29">
        <v>2025</v>
      </c>
      <c r="H29">
        <v>191502</v>
      </c>
      <c r="I29" t="s">
        <v>49</v>
      </c>
      <c r="J29" t="s">
        <v>53</v>
      </c>
    </row>
    <row r="30" spans="1:10" x14ac:dyDescent="0.45">
      <c r="A30">
        <v>29</v>
      </c>
      <c r="B30" t="s">
        <v>13</v>
      </c>
      <c r="C30" t="s">
        <v>33</v>
      </c>
      <c r="D30">
        <v>2029</v>
      </c>
      <c r="E30">
        <v>76</v>
      </c>
      <c r="F30">
        <v>24</v>
      </c>
      <c r="G30">
        <v>2023</v>
      </c>
      <c r="H30">
        <v>180935</v>
      </c>
      <c r="I30" t="s">
        <v>48</v>
      </c>
      <c r="J30" t="s">
        <v>52</v>
      </c>
    </row>
    <row r="31" spans="1:10" x14ac:dyDescent="0.45">
      <c r="A31">
        <v>30</v>
      </c>
      <c r="B31" t="s">
        <v>11</v>
      </c>
      <c r="C31" t="s">
        <v>31</v>
      </c>
      <c r="D31">
        <v>739</v>
      </c>
      <c r="E31">
        <v>73</v>
      </c>
      <c r="F31">
        <v>27</v>
      </c>
      <c r="G31">
        <v>2024</v>
      </c>
      <c r="H31">
        <v>398302</v>
      </c>
      <c r="I31" t="s">
        <v>48</v>
      </c>
      <c r="J31" t="s">
        <v>52</v>
      </c>
    </row>
    <row r="32" spans="1:10" x14ac:dyDescent="0.45">
      <c r="A32">
        <v>31</v>
      </c>
      <c r="B32" t="s">
        <v>13</v>
      </c>
      <c r="C32" t="s">
        <v>33</v>
      </c>
      <c r="D32">
        <v>2526</v>
      </c>
      <c r="E32">
        <v>51</v>
      </c>
      <c r="F32">
        <v>49</v>
      </c>
      <c r="G32">
        <v>2020</v>
      </c>
      <c r="H32">
        <v>198325</v>
      </c>
      <c r="I32" t="s">
        <v>48</v>
      </c>
      <c r="J32" t="s">
        <v>64</v>
      </c>
    </row>
    <row r="33" spans="1:10" x14ac:dyDescent="0.45">
      <c r="A33">
        <v>32</v>
      </c>
      <c r="B33" t="s">
        <v>14</v>
      </c>
      <c r="C33" t="s">
        <v>34</v>
      </c>
      <c r="D33">
        <v>1231</v>
      </c>
      <c r="E33">
        <v>54</v>
      </c>
      <c r="F33">
        <v>46</v>
      </c>
      <c r="G33">
        <v>2022</v>
      </c>
      <c r="H33">
        <v>338700</v>
      </c>
      <c r="I33" t="s">
        <v>48</v>
      </c>
      <c r="J33" t="s">
        <v>64</v>
      </c>
    </row>
    <row r="34" spans="1:10" x14ac:dyDescent="0.45">
      <c r="A34">
        <v>33</v>
      </c>
      <c r="B34" t="s">
        <v>10</v>
      </c>
      <c r="C34" t="s">
        <v>30</v>
      </c>
      <c r="D34">
        <v>4227</v>
      </c>
      <c r="E34">
        <v>81</v>
      </c>
      <c r="F34">
        <v>19</v>
      </c>
      <c r="G34">
        <v>2024</v>
      </c>
      <c r="H34">
        <v>181966</v>
      </c>
      <c r="I34" t="s">
        <v>48</v>
      </c>
      <c r="J34" t="s">
        <v>61</v>
      </c>
    </row>
    <row r="35" spans="1:10" x14ac:dyDescent="0.45">
      <c r="A35">
        <v>34</v>
      </c>
      <c r="B35" t="s">
        <v>24</v>
      </c>
      <c r="C35" t="s">
        <v>44</v>
      </c>
      <c r="D35">
        <v>1203</v>
      </c>
      <c r="E35">
        <v>69</v>
      </c>
      <c r="F35">
        <v>31</v>
      </c>
      <c r="G35">
        <v>2020</v>
      </c>
      <c r="H35">
        <v>385025</v>
      </c>
      <c r="I35" t="s">
        <v>48</v>
      </c>
      <c r="J35" t="s">
        <v>58</v>
      </c>
    </row>
    <row r="36" spans="1:10" x14ac:dyDescent="0.45">
      <c r="A36">
        <v>35</v>
      </c>
      <c r="B36" t="s">
        <v>16</v>
      </c>
      <c r="C36" t="s">
        <v>36</v>
      </c>
      <c r="D36">
        <v>1966</v>
      </c>
      <c r="E36">
        <v>47</v>
      </c>
      <c r="F36">
        <v>53</v>
      </c>
      <c r="G36">
        <v>2025</v>
      </c>
      <c r="H36">
        <v>522908</v>
      </c>
      <c r="I36" t="s">
        <v>49</v>
      </c>
      <c r="J36" t="s">
        <v>54</v>
      </c>
    </row>
    <row r="37" spans="1:10" x14ac:dyDescent="0.45">
      <c r="A37">
        <v>36</v>
      </c>
      <c r="B37" t="s">
        <v>17</v>
      </c>
      <c r="C37" t="s">
        <v>37</v>
      </c>
      <c r="D37">
        <v>924</v>
      </c>
      <c r="E37">
        <v>80</v>
      </c>
      <c r="F37">
        <v>20</v>
      </c>
      <c r="G37">
        <v>2025</v>
      </c>
      <c r="H37">
        <v>531508</v>
      </c>
      <c r="I37" t="s">
        <v>48</v>
      </c>
      <c r="J37" t="s">
        <v>60</v>
      </c>
    </row>
    <row r="38" spans="1:10" x14ac:dyDescent="0.45">
      <c r="A38">
        <v>37</v>
      </c>
      <c r="B38" t="s">
        <v>11</v>
      </c>
      <c r="C38" t="s">
        <v>31</v>
      </c>
      <c r="D38">
        <v>3245</v>
      </c>
      <c r="E38">
        <v>77</v>
      </c>
      <c r="F38">
        <v>23</v>
      </c>
      <c r="G38">
        <v>2025</v>
      </c>
      <c r="H38">
        <v>326006</v>
      </c>
      <c r="I38" t="s">
        <v>48</v>
      </c>
      <c r="J38" t="s">
        <v>57</v>
      </c>
    </row>
    <row r="39" spans="1:10" x14ac:dyDescent="0.45">
      <c r="A39">
        <v>38</v>
      </c>
      <c r="B39" t="s">
        <v>15</v>
      </c>
      <c r="C39" t="s">
        <v>35</v>
      </c>
      <c r="D39">
        <v>3536</v>
      </c>
      <c r="E39">
        <v>41</v>
      </c>
      <c r="F39">
        <v>59</v>
      </c>
      <c r="G39">
        <v>2023</v>
      </c>
      <c r="H39">
        <v>478851</v>
      </c>
      <c r="I39" t="s">
        <v>49</v>
      </c>
      <c r="J39" t="s">
        <v>57</v>
      </c>
    </row>
    <row r="40" spans="1:10" x14ac:dyDescent="0.45">
      <c r="A40">
        <v>39</v>
      </c>
      <c r="B40" t="s">
        <v>23</v>
      </c>
      <c r="C40" t="s">
        <v>43</v>
      </c>
      <c r="D40">
        <v>3463</v>
      </c>
      <c r="E40">
        <v>74</v>
      </c>
      <c r="F40">
        <v>26</v>
      </c>
      <c r="G40">
        <v>2021</v>
      </c>
      <c r="H40">
        <v>186074</v>
      </c>
      <c r="I40" t="s">
        <v>48</v>
      </c>
      <c r="J40" t="s">
        <v>63</v>
      </c>
    </row>
    <row r="41" spans="1:10" x14ac:dyDescent="0.45">
      <c r="A41">
        <v>40</v>
      </c>
      <c r="B41" t="s">
        <v>26</v>
      </c>
      <c r="C41" t="s">
        <v>46</v>
      </c>
      <c r="D41">
        <v>4293</v>
      </c>
      <c r="E41">
        <v>60</v>
      </c>
      <c r="F41">
        <v>40</v>
      </c>
      <c r="G41">
        <v>2025</v>
      </c>
      <c r="H41">
        <v>597396</v>
      </c>
      <c r="I41" t="s">
        <v>48</v>
      </c>
      <c r="J41" t="s">
        <v>53</v>
      </c>
    </row>
    <row r="42" spans="1:10" x14ac:dyDescent="0.45">
      <c r="A42">
        <v>41</v>
      </c>
      <c r="B42" t="s">
        <v>19</v>
      </c>
      <c r="C42" t="s">
        <v>39</v>
      </c>
      <c r="D42">
        <v>4547</v>
      </c>
      <c r="E42">
        <v>61</v>
      </c>
      <c r="F42">
        <v>39</v>
      </c>
      <c r="G42">
        <v>2023</v>
      </c>
      <c r="H42">
        <v>479711</v>
      </c>
      <c r="I42" t="s">
        <v>48</v>
      </c>
      <c r="J42" t="s">
        <v>57</v>
      </c>
    </row>
    <row r="43" spans="1:10" x14ac:dyDescent="0.45">
      <c r="A43">
        <v>42</v>
      </c>
      <c r="B43" t="s">
        <v>20</v>
      </c>
      <c r="C43" t="s">
        <v>40</v>
      </c>
      <c r="D43">
        <v>2369</v>
      </c>
      <c r="E43">
        <v>53</v>
      </c>
      <c r="F43">
        <v>47</v>
      </c>
      <c r="G43">
        <v>2024</v>
      </c>
      <c r="H43">
        <v>412795</v>
      </c>
      <c r="I43" t="s">
        <v>48</v>
      </c>
      <c r="J43" t="s">
        <v>54</v>
      </c>
    </row>
    <row r="44" spans="1:10" x14ac:dyDescent="0.45">
      <c r="A44">
        <v>43</v>
      </c>
      <c r="B44" t="s">
        <v>10</v>
      </c>
      <c r="C44" t="s">
        <v>30</v>
      </c>
      <c r="D44">
        <v>3254</v>
      </c>
      <c r="E44">
        <v>74</v>
      </c>
      <c r="F44">
        <v>26</v>
      </c>
      <c r="G44">
        <v>2021</v>
      </c>
      <c r="H44">
        <v>595837</v>
      </c>
      <c r="I44" t="s">
        <v>48</v>
      </c>
      <c r="J44" t="s">
        <v>59</v>
      </c>
    </row>
    <row r="45" spans="1:10" x14ac:dyDescent="0.45">
      <c r="A45">
        <v>44</v>
      </c>
      <c r="B45" t="s">
        <v>26</v>
      </c>
      <c r="C45" t="s">
        <v>46</v>
      </c>
      <c r="D45">
        <v>1517</v>
      </c>
      <c r="E45">
        <v>44</v>
      </c>
      <c r="F45">
        <v>56</v>
      </c>
      <c r="G45">
        <v>2024</v>
      </c>
      <c r="H45">
        <v>545401</v>
      </c>
      <c r="I45" t="s">
        <v>49</v>
      </c>
      <c r="J45" t="s">
        <v>59</v>
      </c>
    </row>
    <row r="46" spans="1:10" x14ac:dyDescent="0.45">
      <c r="A46">
        <v>45</v>
      </c>
      <c r="B46" t="s">
        <v>26</v>
      </c>
      <c r="C46" t="s">
        <v>46</v>
      </c>
      <c r="D46">
        <v>794</v>
      </c>
      <c r="E46">
        <v>72</v>
      </c>
      <c r="F46">
        <v>28</v>
      </c>
      <c r="G46">
        <v>2021</v>
      </c>
      <c r="H46">
        <v>221969</v>
      </c>
      <c r="I46" t="s">
        <v>48</v>
      </c>
      <c r="J46" t="s">
        <v>50</v>
      </c>
    </row>
    <row r="47" spans="1:10" x14ac:dyDescent="0.45">
      <c r="A47">
        <v>46</v>
      </c>
      <c r="B47" t="s">
        <v>27</v>
      </c>
      <c r="C47" t="s">
        <v>36</v>
      </c>
      <c r="D47">
        <v>2286</v>
      </c>
      <c r="E47">
        <v>83</v>
      </c>
      <c r="F47">
        <v>17</v>
      </c>
      <c r="G47">
        <v>2022</v>
      </c>
      <c r="H47">
        <v>202741</v>
      </c>
      <c r="I47" t="s">
        <v>48</v>
      </c>
      <c r="J47" t="s">
        <v>54</v>
      </c>
    </row>
    <row r="48" spans="1:10" x14ac:dyDescent="0.45">
      <c r="A48">
        <v>47</v>
      </c>
      <c r="B48" t="s">
        <v>19</v>
      </c>
      <c r="C48" t="s">
        <v>39</v>
      </c>
      <c r="D48">
        <v>1757</v>
      </c>
      <c r="E48">
        <v>62</v>
      </c>
      <c r="F48">
        <v>38</v>
      </c>
      <c r="G48">
        <v>2025</v>
      </c>
      <c r="H48">
        <v>532522</v>
      </c>
      <c r="I48" t="s">
        <v>48</v>
      </c>
      <c r="J48" t="s">
        <v>56</v>
      </c>
    </row>
    <row r="49" spans="1:10" x14ac:dyDescent="0.45">
      <c r="A49">
        <v>48</v>
      </c>
      <c r="B49" t="s">
        <v>21</v>
      </c>
      <c r="C49" t="s">
        <v>41</v>
      </c>
      <c r="D49">
        <v>1491</v>
      </c>
      <c r="E49">
        <v>83</v>
      </c>
      <c r="F49">
        <v>17</v>
      </c>
      <c r="G49">
        <v>2020</v>
      </c>
      <c r="H49">
        <v>505769</v>
      </c>
      <c r="I49" t="s">
        <v>48</v>
      </c>
      <c r="J49" t="s">
        <v>51</v>
      </c>
    </row>
    <row r="50" spans="1:10" x14ac:dyDescent="0.45">
      <c r="A50">
        <v>49</v>
      </c>
      <c r="B50" t="s">
        <v>26</v>
      </c>
      <c r="C50" t="s">
        <v>46</v>
      </c>
      <c r="D50">
        <v>699</v>
      </c>
      <c r="E50">
        <v>69</v>
      </c>
      <c r="F50">
        <v>31</v>
      </c>
      <c r="G50">
        <v>2025</v>
      </c>
      <c r="H50">
        <v>556300</v>
      </c>
      <c r="I50" t="s">
        <v>48</v>
      </c>
      <c r="J50" t="s">
        <v>55</v>
      </c>
    </row>
    <row r="51" spans="1:10" x14ac:dyDescent="0.45">
      <c r="A51">
        <v>50</v>
      </c>
      <c r="B51" t="s">
        <v>28</v>
      </c>
      <c r="C51" t="s">
        <v>43</v>
      </c>
      <c r="D51">
        <v>1787</v>
      </c>
      <c r="E51">
        <v>48</v>
      </c>
      <c r="F51">
        <v>52</v>
      </c>
      <c r="G51">
        <v>2020</v>
      </c>
      <c r="H51">
        <v>221908</v>
      </c>
      <c r="I51" t="s">
        <v>49</v>
      </c>
      <c r="J51" t="s">
        <v>51</v>
      </c>
    </row>
    <row r="52" spans="1:10" x14ac:dyDescent="0.45">
      <c r="A52">
        <v>51</v>
      </c>
      <c r="B52" t="s">
        <v>20</v>
      </c>
      <c r="C52" t="s">
        <v>40</v>
      </c>
      <c r="D52">
        <v>443</v>
      </c>
      <c r="E52">
        <v>62</v>
      </c>
      <c r="F52">
        <v>38</v>
      </c>
      <c r="G52">
        <v>2020</v>
      </c>
      <c r="H52">
        <v>505574</v>
      </c>
      <c r="I52" t="s">
        <v>48</v>
      </c>
      <c r="J52" t="s">
        <v>58</v>
      </c>
    </row>
    <row r="53" spans="1:10" x14ac:dyDescent="0.45">
      <c r="A53">
        <v>52</v>
      </c>
      <c r="B53" t="s">
        <v>17</v>
      </c>
      <c r="C53" t="s">
        <v>37</v>
      </c>
      <c r="D53">
        <v>1319</v>
      </c>
      <c r="E53">
        <v>55</v>
      </c>
      <c r="F53">
        <v>45</v>
      </c>
      <c r="G53">
        <v>2020</v>
      </c>
      <c r="H53">
        <v>325670</v>
      </c>
      <c r="I53" t="s">
        <v>48</v>
      </c>
      <c r="J53" t="s">
        <v>53</v>
      </c>
    </row>
    <row r="54" spans="1:10" x14ac:dyDescent="0.45">
      <c r="A54">
        <v>53</v>
      </c>
      <c r="B54" t="s">
        <v>29</v>
      </c>
      <c r="C54" t="s">
        <v>47</v>
      </c>
      <c r="D54">
        <v>675</v>
      </c>
      <c r="E54">
        <v>77</v>
      </c>
      <c r="F54">
        <v>23</v>
      </c>
      <c r="G54">
        <v>2022</v>
      </c>
      <c r="H54">
        <v>231603</v>
      </c>
      <c r="I54" t="s">
        <v>48</v>
      </c>
      <c r="J54" t="s">
        <v>62</v>
      </c>
    </row>
    <row r="55" spans="1:10" x14ac:dyDescent="0.45">
      <c r="A55">
        <v>54</v>
      </c>
      <c r="B55" t="s">
        <v>28</v>
      </c>
      <c r="C55" t="s">
        <v>43</v>
      </c>
      <c r="D55">
        <v>1867</v>
      </c>
      <c r="E55">
        <v>43</v>
      </c>
      <c r="F55">
        <v>57</v>
      </c>
      <c r="G55">
        <v>2024</v>
      </c>
      <c r="H55">
        <v>453052</v>
      </c>
      <c r="I55" t="s">
        <v>49</v>
      </c>
      <c r="J55" t="s">
        <v>53</v>
      </c>
    </row>
    <row r="56" spans="1:10" x14ac:dyDescent="0.45">
      <c r="A56">
        <v>55</v>
      </c>
      <c r="B56" t="s">
        <v>15</v>
      </c>
      <c r="C56" t="s">
        <v>35</v>
      </c>
      <c r="D56">
        <v>2052</v>
      </c>
      <c r="E56">
        <v>73</v>
      </c>
      <c r="F56">
        <v>27</v>
      </c>
      <c r="G56">
        <v>2020</v>
      </c>
      <c r="H56">
        <v>374837</v>
      </c>
      <c r="I56" t="s">
        <v>48</v>
      </c>
      <c r="J56" t="s">
        <v>56</v>
      </c>
    </row>
    <row r="57" spans="1:10" x14ac:dyDescent="0.45">
      <c r="A57">
        <v>56</v>
      </c>
      <c r="B57" t="s">
        <v>18</v>
      </c>
      <c r="C57" t="s">
        <v>38</v>
      </c>
      <c r="D57">
        <v>865</v>
      </c>
      <c r="E57">
        <v>81</v>
      </c>
      <c r="F57">
        <v>19</v>
      </c>
      <c r="G57">
        <v>2023</v>
      </c>
      <c r="H57">
        <v>241316</v>
      </c>
      <c r="I57" t="s">
        <v>48</v>
      </c>
      <c r="J57" t="s">
        <v>50</v>
      </c>
    </row>
    <row r="58" spans="1:10" x14ac:dyDescent="0.45">
      <c r="A58">
        <v>57</v>
      </c>
      <c r="B58" t="s">
        <v>27</v>
      </c>
      <c r="C58" t="s">
        <v>36</v>
      </c>
      <c r="D58">
        <v>4098</v>
      </c>
      <c r="E58">
        <v>84</v>
      </c>
      <c r="F58">
        <v>16</v>
      </c>
      <c r="G58">
        <v>2020</v>
      </c>
      <c r="H58">
        <v>528784</v>
      </c>
      <c r="I58" t="s">
        <v>48</v>
      </c>
      <c r="J58" t="s">
        <v>57</v>
      </c>
    </row>
    <row r="59" spans="1:10" x14ac:dyDescent="0.45">
      <c r="A59">
        <v>58</v>
      </c>
      <c r="B59" t="s">
        <v>13</v>
      </c>
      <c r="C59" t="s">
        <v>33</v>
      </c>
      <c r="D59">
        <v>654</v>
      </c>
      <c r="E59">
        <v>46</v>
      </c>
      <c r="F59">
        <v>54</v>
      </c>
      <c r="G59">
        <v>2024</v>
      </c>
      <c r="H59">
        <v>549075</v>
      </c>
      <c r="I59" t="s">
        <v>49</v>
      </c>
      <c r="J59" t="s">
        <v>62</v>
      </c>
    </row>
    <row r="60" spans="1:10" x14ac:dyDescent="0.45">
      <c r="A60">
        <v>59</v>
      </c>
      <c r="B60" t="s">
        <v>11</v>
      </c>
      <c r="C60" t="s">
        <v>31</v>
      </c>
      <c r="D60">
        <v>1639</v>
      </c>
      <c r="E60">
        <v>53</v>
      </c>
      <c r="F60">
        <v>47</v>
      </c>
      <c r="G60">
        <v>2023</v>
      </c>
      <c r="H60">
        <v>581544</v>
      </c>
      <c r="I60" t="s">
        <v>48</v>
      </c>
      <c r="J60" t="s">
        <v>52</v>
      </c>
    </row>
    <row r="61" spans="1:10" x14ac:dyDescent="0.45">
      <c r="A61">
        <v>60</v>
      </c>
      <c r="B61" t="s">
        <v>11</v>
      </c>
      <c r="C61" t="s">
        <v>31</v>
      </c>
      <c r="D61">
        <v>993</v>
      </c>
      <c r="E61">
        <v>83</v>
      </c>
      <c r="F61">
        <v>17</v>
      </c>
      <c r="G61">
        <v>2025</v>
      </c>
      <c r="H61">
        <v>561263</v>
      </c>
      <c r="I61" t="s">
        <v>48</v>
      </c>
      <c r="J61" t="s">
        <v>61</v>
      </c>
    </row>
    <row r="62" spans="1:10" x14ac:dyDescent="0.45">
      <c r="A62">
        <v>61</v>
      </c>
      <c r="B62" t="s">
        <v>18</v>
      </c>
      <c r="C62" t="s">
        <v>38</v>
      </c>
      <c r="D62">
        <v>591</v>
      </c>
      <c r="E62">
        <v>51</v>
      </c>
      <c r="F62">
        <v>49</v>
      </c>
      <c r="G62">
        <v>2022</v>
      </c>
      <c r="H62">
        <v>371998</v>
      </c>
      <c r="I62" t="s">
        <v>48</v>
      </c>
      <c r="J62" t="s">
        <v>52</v>
      </c>
    </row>
    <row r="63" spans="1:10" x14ac:dyDescent="0.45">
      <c r="A63">
        <v>62</v>
      </c>
      <c r="B63" t="s">
        <v>23</v>
      </c>
      <c r="C63" t="s">
        <v>43</v>
      </c>
      <c r="D63">
        <v>2924</v>
      </c>
      <c r="E63">
        <v>63</v>
      </c>
      <c r="F63">
        <v>37</v>
      </c>
      <c r="G63">
        <v>2025</v>
      </c>
      <c r="H63">
        <v>413519</v>
      </c>
      <c r="I63" t="s">
        <v>48</v>
      </c>
      <c r="J63" t="s">
        <v>58</v>
      </c>
    </row>
    <row r="64" spans="1:10" x14ac:dyDescent="0.45">
      <c r="A64">
        <v>63</v>
      </c>
      <c r="B64" t="s">
        <v>11</v>
      </c>
      <c r="C64" t="s">
        <v>31</v>
      </c>
      <c r="D64">
        <v>2575</v>
      </c>
      <c r="E64">
        <v>59</v>
      </c>
      <c r="F64">
        <v>41</v>
      </c>
      <c r="G64">
        <v>2023</v>
      </c>
      <c r="H64">
        <v>518268</v>
      </c>
      <c r="I64" t="s">
        <v>48</v>
      </c>
      <c r="J64" t="s">
        <v>63</v>
      </c>
    </row>
    <row r="65" spans="1:10" x14ac:dyDescent="0.45">
      <c r="A65">
        <v>64</v>
      </c>
      <c r="B65" t="s">
        <v>25</v>
      </c>
      <c r="C65" t="s">
        <v>45</v>
      </c>
      <c r="D65">
        <v>2220</v>
      </c>
      <c r="E65">
        <v>85</v>
      </c>
      <c r="F65">
        <v>15</v>
      </c>
      <c r="G65">
        <v>2022</v>
      </c>
      <c r="H65">
        <v>199998</v>
      </c>
      <c r="I65" t="s">
        <v>48</v>
      </c>
      <c r="J65" t="s">
        <v>56</v>
      </c>
    </row>
    <row r="66" spans="1:10" x14ac:dyDescent="0.45">
      <c r="A66">
        <v>65</v>
      </c>
      <c r="B66" t="s">
        <v>10</v>
      </c>
      <c r="C66" t="s">
        <v>30</v>
      </c>
      <c r="D66">
        <v>2830</v>
      </c>
      <c r="E66">
        <v>42</v>
      </c>
      <c r="F66">
        <v>58</v>
      </c>
      <c r="G66">
        <v>2023</v>
      </c>
      <c r="H66">
        <v>195422</v>
      </c>
      <c r="I66" t="s">
        <v>49</v>
      </c>
      <c r="J66" t="s">
        <v>58</v>
      </c>
    </row>
    <row r="67" spans="1:10" x14ac:dyDescent="0.45">
      <c r="A67">
        <v>66</v>
      </c>
      <c r="B67" t="s">
        <v>23</v>
      </c>
      <c r="C67" t="s">
        <v>43</v>
      </c>
      <c r="D67">
        <v>3982</v>
      </c>
      <c r="E67">
        <v>68</v>
      </c>
      <c r="F67">
        <v>32</v>
      </c>
      <c r="G67">
        <v>2021</v>
      </c>
      <c r="H67">
        <v>188264</v>
      </c>
      <c r="I67" t="s">
        <v>48</v>
      </c>
      <c r="J67" t="s">
        <v>62</v>
      </c>
    </row>
    <row r="68" spans="1:10" x14ac:dyDescent="0.45">
      <c r="A68">
        <v>67</v>
      </c>
      <c r="B68" t="s">
        <v>16</v>
      </c>
      <c r="C68" t="s">
        <v>36</v>
      </c>
      <c r="D68">
        <v>4047</v>
      </c>
      <c r="E68">
        <v>79</v>
      </c>
      <c r="F68">
        <v>21</v>
      </c>
      <c r="G68">
        <v>2024</v>
      </c>
      <c r="H68">
        <v>473103</v>
      </c>
      <c r="I68" t="s">
        <v>48</v>
      </c>
      <c r="J68" t="s">
        <v>64</v>
      </c>
    </row>
    <row r="69" spans="1:10" x14ac:dyDescent="0.45">
      <c r="A69">
        <v>68</v>
      </c>
      <c r="B69" t="s">
        <v>28</v>
      </c>
      <c r="C69" t="s">
        <v>43</v>
      </c>
      <c r="D69">
        <v>2235</v>
      </c>
      <c r="E69">
        <v>52</v>
      </c>
      <c r="F69">
        <v>48</v>
      </c>
      <c r="G69">
        <v>2023</v>
      </c>
      <c r="H69">
        <v>221854</v>
      </c>
      <c r="I69" t="s">
        <v>48</v>
      </c>
      <c r="J69" t="s">
        <v>50</v>
      </c>
    </row>
    <row r="70" spans="1:10" x14ac:dyDescent="0.45">
      <c r="A70">
        <v>69</v>
      </c>
      <c r="B70" t="s">
        <v>14</v>
      </c>
      <c r="C70" t="s">
        <v>34</v>
      </c>
      <c r="D70">
        <v>280</v>
      </c>
      <c r="E70">
        <v>47</v>
      </c>
      <c r="F70">
        <v>53</v>
      </c>
      <c r="G70">
        <v>2020</v>
      </c>
      <c r="H70">
        <v>504143</v>
      </c>
      <c r="I70" t="s">
        <v>49</v>
      </c>
      <c r="J70" t="s">
        <v>57</v>
      </c>
    </row>
    <row r="71" spans="1:10" x14ac:dyDescent="0.45">
      <c r="A71">
        <v>70</v>
      </c>
      <c r="B71" t="s">
        <v>15</v>
      </c>
      <c r="C71" t="s">
        <v>35</v>
      </c>
      <c r="D71">
        <v>797</v>
      </c>
      <c r="E71">
        <v>47</v>
      </c>
      <c r="F71">
        <v>53</v>
      </c>
      <c r="G71">
        <v>2024</v>
      </c>
      <c r="H71">
        <v>320713</v>
      </c>
      <c r="I71" t="s">
        <v>49</v>
      </c>
      <c r="J71" t="s">
        <v>60</v>
      </c>
    </row>
    <row r="72" spans="1:10" x14ac:dyDescent="0.45">
      <c r="A72">
        <v>71</v>
      </c>
      <c r="B72" t="s">
        <v>10</v>
      </c>
      <c r="C72" t="s">
        <v>30</v>
      </c>
      <c r="D72">
        <v>2313</v>
      </c>
      <c r="E72">
        <v>70</v>
      </c>
      <c r="F72">
        <v>30</v>
      </c>
      <c r="G72">
        <v>2020</v>
      </c>
      <c r="H72">
        <v>372339</v>
      </c>
      <c r="I72" t="s">
        <v>48</v>
      </c>
      <c r="J72" t="s">
        <v>50</v>
      </c>
    </row>
    <row r="73" spans="1:10" x14ac:dyDescent="0.45">
      <c r="A73">
        <v>72</v>
      </c>
      <c r="B73" t="s">
        <v>19</v>
      </c>
      <c r="C73" t="s">
        <v>39</v>
      </c>
      <c r="D73">
        <v>3868</v>
      </c>
      <c r="E73">
        <v>63</v>
      </c>
      <c r="F73">
        <v>37</v>
      </c>
      <c r="G73">
        <v>2025</v>
      </c>
      <c r="H73">
        <v>470801</v>
      </c>
      <c r="I73" t="s">
        <v>48</v>
      </c>
      <c r="J73" t="s">
        <v>55</v>
      </c>
    </row>
    <row r="74" spans="1:10" x14ac:dyDescent="0.45">
      <c r="A74">
        <v>73</v>
      </c>
      <c r="B74" t="s">
        <v>27</v>
      </c>
      <c r="C74" t="s">
        <v>36</v>
      </c>
      <c r="D74">
        <v>3954</v>
      </c>
      <c r="E74">
        <v>44</v>
      </c>
      <c r="F74">
        <v>56</v>
      </c>
      <c r="G74">
        <v>2020</v>
      </c>
      <c r="H74">
        <v>216463</v>
      </c>
      <c r="I74" t="s">
        <v>49</v>
      </c>
      <c r="J74" t="s">
        <v>57</v>
      </c>
    </row>
    <row r="75" spans="1:10" x14ac:dyDescent="0.45">
      <c r="A75">
        <v>74</v>
      </c>
      <c r="B75" t="s">
        <v>23</v>
      </c>
      <c r="C75" t="s">
        <v>43</v>
      </c>
      <c r="D75">
        <v>653</v>
      </c>
      <c r="E75">
        <v>59</v>
      </c>
      <c r="F75">
        <v>41</v>
      </c>
      <c r="G75">
        <v>2020</v>
      </c>
      <c r="H75">
        <v>573462</v>
      </c>
      <c r="I75" t="s">
        <v>48</v>
      </c>
      <c r="J75" t="s">
        <v>51</v>
      </c>
    </row>
    <row r="76" spans="1:10" x14ac:dyDescent="0.45">
      <c r="A76">
        <v>75</v>
      </c>
      <c r="B76" t="s">
        <v>19</v>
      </c>
      <c r="C76" t="s">
        <v>39</v>
      </c>
      <c r="D76">
        <v>4653</v>
      </c>
      <c r="E76">
        <v>82</v>
      </c>
      <c r="F76">
        <v>18</v>
      </c>
      <c r="G76">
        <v>2024</v>
      </c>
      <c r="H76">
        <v>231528</v>
      </c>
      <c r="I76" t="s">
        <v>48</v>
      </c>
      <c r="J76" t="s">
        <v>51</v>
      </c>
    </row>
    <row r="77" spans="1:10" x14ac:dyDescent="0.45">
      <c r="A77">
        <v>76</v>
      </c>
      <c r="B77" t="s">
        <v>12</v>
      </c>
      <c r="C77" t="s">
        <v>32</v>
      </c>
      <c r="D77">
        <v>721</v>
      </c>
      <c r="E77">
        <v>55</v>
      </c>
      <c r="F77">
        <v>45</v>
      </c>
      <c r="G77">
        <v>2020</v>
      </c>
      <c r="H77">
        <v>265214</v>
      </c>
      <c r="I77" t="s">
        <v>48</v>
      </c>
      <c r="J77" t="s">
        <v>51</v>
      </c>
    </row>
    <row r="78" spans="1:10" x14ac:dyDescent="0.45">
      <c r="A78">
        <v>77</v>
      </c>
      <c r="B78" t="s">
        <v>27</v>
      </c>
      <c r="C78" t="s">
        <v>36</v>
      </c>
      <c r="D78">
        <v>1388</v>
      </c>
      <c r="E78">
        <v>65</v>
      </c>
      <c r="F78">
        <v>35</v>
      </c>
      <c r="G78">
        <v>2021</v>
      </c>
      <c r="H78">
        <v>527563</v>
      </c>
      <c r="I78" t="s">
        <v>48</v>
      </c>
      <c r="J78" t="s">
        <v>62</v>
      </c>
    </row>
    <row r="79" spans="1:10" x14ac:dyDescent="0.45">
      <c r="A79">
        <v>78</v>
      </c>
      <c r="B79" t="s">
        <v>20</v>
      </c>
      <c r="C79" t="s">
        <v>40</v>
      </c>
      <c r="D79">
        <v>2816</v>
      </c>
      <c r="E79">
        <v>68</v>
      </c>
      <c r="F79">
        <v>32</v>
      </c>
      <c r="G79">
        <v>2020</v>
      </c>
      <c r="H79">
        <v>480101</v>
      </c>
      <c r="I79" t="s">
        <v>48</v>
      </c>
      <c r="J79" t="s">
        <v>53</v>
      </c>
    </row>
    <row r="80" spans="1:10" x14ac:dyDescent="0.45">
      <c r="A80">
        <v>79</v>
      </c>
      <c r="B80" t="s">
        <v>21</v>
      </c>
      <c r="C80" t="s">
        <v>41</v>
      </c>
      <c r="D80">
        <v>1791</v>
      </c>
      <c r="E80">
        <v>70</v>
      </c>
      <c r="F80">
        <v>30</v>
      </c>
      <c r="G80">
        <v>2020</v>
      </c>
      <c r="H80">
        <v>284477</v>
      </c>
      <c r="I80" t="s">
        <v>48</v>
      </c>
      <c r="J80" t="s">
        <v>62</v>
      </c>
    </row>
    <row r="81" spans="1:10" x14ac:dyDescent="0.45">
      <c r="A81">
        <v>80</v>
      </c>
      <c r="B81" t="s">
        <v>24</v>
      </c>
      <c r="C81" t="s">
        <v>44</v>
      </c>
      <c r="D81">
        <v>1995</v>
      </c>
      <c r="E81">
        <v>80</v>
      </c>
      <c r="F81">
        <v>20</v>
      </c>
      <c r="G81">
        <v>2022</v>
      </c>
      <c r="H81">
        <v>340847</v>
      </c>
      <c r="I81" t="s">
        <v>48</v>
      </c>
      <c r="J81" t="s">
        <v>54</v>
      </c>
    </row>
    <row r="82" spans="1:10" x14ac:dyDescent="0.45">
      <c r="A82">
        <v>81</v>
      </c>
      <c r="B82" t="s">
        <v>24</v>
      </c>
      <c r="C82" t="s">
        <v>44</v>
      </c>
      <c r="D82">
        <v>4952</v>
      </c>
      <c r="E82">
        <v>72</v>
      </c>
      <c r="F82">
        <v>28</v>
      </c>
      <c r="G82">
        <v>2024</v>
      </c>
      <c r="H82">
        <v>481354</v>
      </c>
      <c r="I82" t="s">
        <v>48</v>
      </c>
      <c r="J82" t="s">
        <v>57</v>
      </c>
    </row>
    <row r="83" spans="1:10" x14ac:dyDescent="0.45">
      <c r="A83">
        <v>82</v>
      </c>
      <c r="B83" t="s">
        <v>22</v>
      </c>
      <c r="C83" t="s">
        <v>42</v>
      </c>
      <c r="D83">
        <v>4126</v>
      </c>
      <c r="E83">
        <v>43</v>
      </c>
      <c r="F83">
        <v>57</v>
      </c>
      <c r="G83">
        <v>2020</v>
      </c>
      <c r="H83">
        <v>307114</v>
      </c>
      <c r="I83" t="s">
        <v>49</v>
      </c>
      <c r="J83" t="s">
        <v>57</v>
      </c>
    </row>
    <row r="84" spans="1:10" x14ac:dyDescent="0.45">
      <c r="A84">
        <v>83</v>
      </c>
      <c r="B84" t="s">
        <v>27</v>
      </c>
      <c r="C84" t="s">
        <v>36</v>
      </c>
      <c r="D84">
        <v>1598</v>
      </c>
      <c r="E84">
        <v>54</v>
      </c>
      <c r="F84">
        <v>46</v>
      </c>
      <c r="G84">
        <v>2023</v>
      </c>
      <c r="H84">
        <v>337259</v>
      </c>
      <c r="I84" t="s">
        <v>48</v>
      </c>
      <c r="J84" t="s">
        <v>62</v>
      </c>
    </row>
    <row r="85" spans="1:10" x14ac:dyDescent="0.45">
      <c r="A85">
        <v>84</v>
      </c>
      <c r="B85" t="s">
        <v>19</v>
      </c>
      <c r="C85" t="s">
        <v>39</v>
      </c>
      <c r="D85">
        <v>935</v>
      </c>
      <c r="E85">
        <v>63</v>
      </c>
      <c r="F85">
        <v>37</v>
      </c>
      <c r="G85">
        <v>2020</v>
      </c>
      <c r="H85">
        <v>429780</v>
      </c>
      <c r="I85" t="s">
        <v>48</v>
      </c>
      <c r="J85" t="s">
        <v>64</v>
      </c>
    </row>
    <row r="86" spans="1:10" x14ac:dyDescent="0.45">
      <c r="A86">
        <v>85</v>
      </c>
      <c r="B86" t="s">
        <v>12</v>
      </c>
      <c r="C86" t="s">
        <v>32</v>
      </c>
      <c r="D86">
        <v>3331</v>
      </c>
      <c r="E86">
        <v>80</v>
      </c>
      <c r="F86">
        <v>20</v>
      </c>
      <c r="G86">
        <v>2022</v>
      </c>
      <c r="H86">
        <v>452384</v>
      </c>
      <c r="I86" t="s">
        <v>48</v>
      </c>
      <c r="J86" t="s">
        <v>53</v>
      </c>
    </row>
    <row r="87" spans="1:10" x14ac:dyDescent="0.45">
      <c r="A87">
        <v>86</v>
      </c>
      <c r="B87" t="s">
        <v>13</v>
      </c>
      <c r="C87" t="s">
        <v>33</v>
      </c>
      <c r="D87">
        <v>337</v>
      </c>
      <c r="E87">
        <v>69</v>
      </c>
      <c r="F87">
        <v>31</v>
      </c>
      <c r="G87">
        <v>2024</v>
      </c>
      <c r="H87">
        <v>483716</v>
      </c>
      <c r="I87" t="s">
        <v>48</v>
      </c>
      <c r="J87" t="s">
        <v>62</v>
      </c>
    </row>
    <row r="88" spans="1:10" x14ac:dyDescent="0.45">
      <c r="A88">
        <v>87</v>
      </c>
      <c r="B88" t="s">
        <v>29</v>
      </c>
      <c r="C88" t="s">
        <v>47</v>
      </c>
      <c r="D88">
        <v>4506</v>
      </c>
      <c r="E88">
        <v>51</v>
      </c>
      <c r="F88">
        <v>49</v>
      </c>
      <c r="G88">
        <v>2022</v>
      </c>
      <c r="H88">
        <v>402799</v>
      </c>
      <c r="I88" t="s">
        <v>48</v>
      </c>
      <c r="J88" t="s">
        <v>59</v>
      </c>
    </row>
    <row r="89" spans="1:10" x14ac:dyDescent="0.45">
      <c r="A89">
        <v>88</v>
      </c>
      <c r="B89" t="s">
        <v>25</v>
      </c>
      <c r="C89" t="s">
        <v>45</v>
      </c>
      <c r="D89">
        <v>647</v>
      </c>
      <c r="E89">
        <v>70</v>
      </c>
      <c r="F89">
        <v>30</v>
      </c>
      <c r="G89">
        <v>2021</v>
      </c>
      <c r="H89">
        <v>481043</v>
      </c>
      <c r="I89" t="s">
        <v>48</v>
      </c>
      <c r="J89" t="s">
        <v>61</v>
      </c>
    </row>
    <row r="90" spans="1:10" x14ac:dyDescent="0.45">
      <c r="A90">
        <v>89</v>
      </c>
      <c r="B90" t="s">
        <v>24</v>
      </c>
      <c r="C90" t="s">
        <v>44</v>
      </c>
      <c r="D90">
        <v>4172</v>
      </c>
      <c r="E90">
        <v>57</v>
      </c>
      <c r="F90">
        <v>43</v>
      </c>
      <c r="G90">
        <v>2023</v>
      </c>
      <c r="H90">
        <v>445832</v>
      </c>
      <c r="I90" t="s">
        <v>48</v>
      </c>
      <c r="J90" t="s">
        <v>56</v>
      </c>
    </row>
    <row r="91" spans="1:10" x14ac:dyDescent="0.45">
      <c r="A91">
        <v>90</v>
      </c>
      <c r="B91" t="s">
        <v>25</v>
      </c>
      <c r="C91" t="s">
        <v>45</v>
      </c>
      <c r="D91">
        <v>2276</v>
      </c>
      <c r="E91">
        <v>47</v>
      </c>
      <c r="F91">
        <v>53</v>
      </c>
      <c r="G91">
        <v>2021</v>
      </c>
      <c r="H91">
        <v>403286</v>
      </c>
      <c r="I91" t="s">
        <v>49</v>
      </c>
      <c r="J91" t="s">
        <v>58</v>
      </c>
    </row>
    <row r="92" spans="1:10" x14ac:dyDescent="0.45">
      <c r="A92">
        <v>91</v>
      </c>
      <c r="B92" t="s">
        <v>10</v>
      </c>
      <c r="C92" t="s">
        <v>30</v>
      </c>
      <c r="D92">
        <v>3635</v>
      </c>
      <c r="E92">
        <v>47</v>
      </c>
      <c r="F92">
        <v>53</v>
      </c>
      <c r="G92">
        <v>2023</v>
      </c>
      <c r="H92">
        <v>354459</v>
      </c>
      <c r="I92" t="s">
        <v>49</v>
      </c>
      <c r="J92" t="s">
        <v>61</v>
      </c>
    </row>
    <row r="93" spans="1:10" x14ac:dyDescent="0.45">
      <c r="A93">
        <v>92</v>
      </c>
      <c r="B93" t="s">
        <v>26</v>
      </c>
      <c r="C93" t="s">
        <v>46</v>
      </c>
      <c r="D93">
        <v>1727</v>
      </c>
      <c r="E93">
        <v>41</v>
      </c>
      <c r="F93">
        <v>59</v>
      </c>
      <c r="G93">
        <v>2025</v>
      </c>
      <c r="H93">
        <v>340152</v>
      </c>
      <c r="I93" t="s">
        <v>49</v>
      </c>
      <c r="J93" t="s">
        <v>64</v>
      </c>
    </row>
    <row r="94" spans="1:10" x14ac:dyDescent="0.45">
      <c r="A94">
        <v>93</v>
      </c>
      <c r="B94" t="s">
        <v>20</v>
      </c>
      <c r="C94" t="s">
        <v>40</v>
      </c>
      <c r="D94">
        <v>1328</v>
      </c>
      <c r="E94">
        <v>47</v>
      </c>
      <c r="F94">
        <v>53</v>
      </c>
      <c r="G94">
        <v>2025</v>
      </c>
      <c r="H94">
        <v>491160</v>
      </c>
      <c r="I94" t="s">
        <v>49</v>
      </c>
      <c r="J94" t="s">
        <v>62</v>
      </c>
    </row>
    <row r="95" spans="1:10" x14ac:dyDescent="0.45">
      <c r="A95">
        <v>94</v>
      </c>
      <c r="B95" t="s">
        <v>28</v>
      </c>
      <c r="C95" t="s">
        <v>43</v>
      </c>
      <c r="D95">
        <v>1779</v>
      </c>
      <c r="E95">
        <v>71</v>
      </c>
      <c r="F95">
        <v>29</v>
      </c>
      <c r="G95">
        <v>2020</v>
      </c>
      <c r="H95">
        <v>251799</v>
      </c>
      <c r="I95" t="s">
        <v>48</v>
      </c>
      <c r="J95" t="s">
        <v>51</v>
      </c>
    </row>
    <row r="96" spans="1:10" x14ac:dyDescent="0.45">
      <c r="A96">
        <v>95</v>
      </c>
      <c r="B96" t="s">
        <v>18</v>
      </c>
      <c r="C96" t="s">
        <v>38</v>
      </c>
      <c r="D96">
        <v>4610</v>
      </c>
      <c r="E96">
        <v>42</v>
      </c>
      <c r="F96">
        <v>58</v>
      </c>
      <c r="G96">
        <v>2022</v>
      </c>
      <c r="H96">
        <v>355204</v>
      </c>
      <c r="I96" t="s">
        <v>49</v>
      </c>
      <c r="J96" t="s">
        <v>63</v>
      </c>
    </row>
    <row r="97" spans="1:10" x14ac:dyDescent="0.45">
      <c r="A97">
        <v>96</v>
      </c>
      <c r="B97" t="s">
        <v>17</v>
      </c>
      <c r="C97" t="s">
        <v>37</v>
      </c>
      <c r="D97">
        <v>4890</v>
      </c>
      <c r="E97">
        <v>42</v>
      </c>
      <c r="F97">
        <v>58</v>
      </c>
      <c r="G97">
        <v>2023</v>
      </c>
      <c r="H97">
        <v>381321</v>
      </c>
      <c r="I97" t="s">
        <v>49</v>
      </c>
      <c r="J97" t="s">
        <v>64</v>
      </c>
    </row>
    <row r="98" spans="1:10" x14ac:dyDescent="0.45">
      <c r="A98">
        <v>97</v>
      </c>
      <c r="B98" t="s">
        <v>24</v>
      </c>
      <c r="C98" t="s">
        <v>44</v>
      </c>
      <c r="D98">
        <v>4252</v>
      </c>
      <c r="E98">
        <v>46</v>
      </c>
      <c r="F98">
        <v>54</v>
      </c>
      <c r="G98">
        <v>2024</v>
      </c>
      <c r="H98">
        <v>563511</v>
      </c>
      <c r="I98" t="s">
        <v>49</v>
      </c>
      <c r="J98" t="s">
        <v>58</v>
      </c>
    </row>
    <row r="99" spans="1:10" x14ac:dyDescent="0.45">
      <c r="A99">
        <v>98</v>
      </c>
      <c r="B99" t="s">
        <v>27</v>
      </c>
      <c r="C99" t="s">
        <v>36</v>
      </c>
      <c r="D99">
        <v>3931</v>
      </c>
      <c r="E99">
        <v>47</v>
      </c>
      <c r="F99">
        <v>53</v>
      </c>
      <c r="G99">
        <v>2024</v>
      </c>
      <c r="H99">
        <v>397262</v>
      </c>
      <c r="I99" t="s">
        <v>49</v>
      </c>
      <c r="J99" t="s">
        <v>55</v>
      </c>
    </row>
    <row r="100" spans="1:10" x14ac:dyDescent="0.45">
      <c r="A100">
        <v>99</v>
      </c>
      <c r="B100" t="s">
        <v>22</v>
      </c>
      <c r="C100" t="s">
        <v>42</v>
      </c>
      <c r="D100">
        <v>854</v>
      </c>
      <c r="E100">
        <v>73</v>
      </c>
      <c r="F100">
        <v>27</v>
      </c>
      <c r="G100">
        <v>2022</v>
      </c>
      <c r="H100">
        <v>186020</v>
      </c>
      <c r="I100" t="s">
        <v>48</v>
      </c>
      <c r="J100" t="s">
        <v>57</v>
      </c>
    </row>
    <row r="101" spans="1:10" x14ac:dyDescent="0.45">
      <c r="A101">
        <v>100</v>
      </c>
      <c r="B101" t="s">
        <v>18</v>
      </c>
      <c r="C101" t="s">
        <v>38</v>
      </c>
      <c r="D101">
        <v>4967</v>
      </c>
      <c r="E101">
        <v>52</v>
      </c>
      <c r="F101">
        <v>48</v>
      </c>
      <c r="G101">
        <v>2024</v>
      </c>
      <c r="H101">
        <v>247169</v>
      </c>
      <c r="I101" t="s">
        <v>48</v>
      </c>
      <c r="J101" t="s">
        <v>59</v>
      </c>
    </row>
    <row r="102" spans="1:10" x14ac:dyDescent="0.45">
      <c r="A102">
        <v>101</v>
      </c>
      <c r="B102" t="s">
        <v>26</v>
      </c>
      <c r="C102" t="s">
        <v>46</v>
      </c>
      <c r="D102">
        <v>2522</v>
      </c>
      <c r="E102">
        <v>80</v>
      </c>
      <c r="F102">
        <v>20</v>
      </c>
      <c r="G102">
        <v>2025</v>
      </c>
      <c r="H102">
        <v>197758</v>
      </c>
      <c r="I102" t="s">
        <v>48</v>
      </c>
      <c r="J102" t="s">
        <v>53</v>
      </c>
    </row>
    <row r="103" spans="1:10" x14ac:dyDescent="0.45">
      <c r="A103">
        <v>102</v>
      </c>
      <c r="B103" t="s">
        <v>17</v>
      </c>
      <c r="C103" t="s">
        <v>37</v>
      </c>
      <c r="D103">
        <v>4455</v>
      </c>
      <c r="E103">
        <v>52</v>
      </c>
      <c r="F103">
        <v>48</v>
      </c>
      <c r="G103">
        <v>2025</v>
      </c>
      <c r="H103">
        <v>332858</v>
      </c>
      <c r="I103" t="s">
        <v>48</v>
      </c>
      <c r="J103" t="s">
        <v>55</v>
      </c>
    </row>
    <row r="104" spans="1:10" x14ac:dyDescent="0.45">
      <c r="A104">
        <v>103</v>
      </c>
      <c r="B104" t="s">
        <v>10</v>
      </c>
      <c r="C104" t="s">
        <v>30</v>
      </c>
      <c r="D104">
        <v>4992</v>
      </c>
      <c r="E104">
        <v>60</v>
      </c>
      <c r="F104">
        <v>40</v>
      </c>
      <c r="G104">
        <v>2020</v>
      </c>
      <c r="H104">
        <v>587588</v>
      </c>
      <c r="I104" t="s">
        <v>48</v>
      </c>
      <c r="J104" t="s">
        <v>60</v>
      </c>
    </row>
    <row r="105" spans="1:10" x14ac:dyDescent="0.45">
      <c r="A105">
        <v>104</v>
      </c>
      <c r="B105" t="s">
        <v>28</v>
      </c>
      <c r="C105" t="s">
        <v>43</v>
      </c>
      <c r="D105">
        <v>233</v>
      </c>
      <c r="E105">
        <v>63</v>
      </c>
      <c r="F105">
        <v>37</v>
      </c>
      <c r="G105">
        <v>2023</v>
      </c>
      <c r="H105">
        <v>495310</v>
      </c>
      <c r="I105" t="s">
        <v>48</v>
      </c>
      <c r="J105" t="s">
        <v>53</v>
      </c>
    </row>
    <row r="106" spans="1:10" x14ac:dyDescent="0.45">
      <c r="A106">
        <v>105</v>
      </c>
      <c r="B106" t="s">
        <v>26</v>
      </c>
      <c r="C106" t="s">
        <v>46</v>
      </c>
      <c r="D106">
        <v>1105</v>
      </c>
      <c r="E106">
        <v>73</v>
      </c>
      <c r="F106">
        <v>27</v>
      </c>
      <c r="G106">
        <v>2020</v>
      </c>
      <c r="H106">
        <v>297206</v>
      </c>
      <c r="I106" t="s">
        <v>48</v>
      </c>
      <c r="J106" t="s">
        <v>63</v>
      </c>
    </row>
    <row r="107" spans="1:10" x14ac:dyDescent="0.45">
      <c r="A107">
        <v>106</v>
      </c>
      <c r="B107" t="s">
        <v>12</v>
      </c>
      <c r="C107" t="s">
        <v>32</v>
      </c>
      <c r="D107">
        <v>3216</v>
      </c>
      <c r="E107">
        <v>43</v>
      </c>
      <c r="F107">
        <v>57</v>
      </c>
      <c r="G107">
        <v>2025</v>
      </c>
      <c r="H107">
        <v>272645</v>
      </c>
      <c r="I107" t="s">
        <v>49</v>
      </c>
      <c r="J107" t="s">
        <v>53</v>
      </c>
    </row>
    <row r="108" spans="1:10" x14ac:dyDescent="0.45">
      <c r="A108">
        <v>107</v>
      </c>
      <c r="B108" t="s">
        <v>12</v>
      </c>
      <c r="C108" t="s">
        <v>32</v>
      </c>
      <c r="D108">
        <v>4408</v>
      </c>
      <c r="E108">
        <v>45</v>
      </c>
      <c r="F108">
        <v>55</v>
      </c>
      <c r="G108">
        <v>2022</v>
      </c>
      <c r="H108">
        <v>596920</v>
      </c>
      <c r="I108" t="s">
        <v>49</v>
      </c>
      <c r="J108" t="s">
        <v>58</v>
      </c>
    </row>
    <row r="109" spans="1:10" x14ac:dyDescent="0.45">
      <c r="A109">
        <v>108</v>
      </c>
      <c r="B109" t="s">
        <v>18</v>
      </c>
      <c r="C109" t="s">
        <v>38</v>
      </c>
      <c r="D109">
        <v>496</v>
      </c>
      <c r="E109">
        <v>49</v>
      </c>
      <c r="F109">
        <v>51</v>
      </c>
      <c r="G109">
        <v>2025</v>
      </c>
      <c r="H109">
        <v>576667</v>
      </c>
      <c r="I109" t="s">
        <v>49</v>
      </c>
      <c r="J109" t="s">
        <v>61</v>
      </c>
    </row>
    <row r="110" spans="1:10" x14ac:dyDescent="0.45">
      <c r="A110">
        <v>109</v>
      </c>
      <c r="B110" t="s">
        <v>28</v>
      </c>
      <c r="C110" t="s">
        <v>43</v>
      </c>
      <c r="D110">
        <v>525</v>
      </c>
      <c r="E110">
        <v>64</v>
      </c>
      <c r="F110">
        <v>36</v>
      </c>
      <c r="G110">
        <v>2023</v>
      </c>
      <c r="H110">
        <v>422436</v>
      </c>
      <c r="I110" t="s">
        <v>48</v>
      </c>
      <c r="J110" t="s">
        <v>61</v>
      </c>
    </row>
    <row r="111" spans="1:10" x14ac:dyDescent="0.45">
      <c r="A111">
        <v>110</v>
      </c>
      <c r="B111" t="s">
        <v>15</v>
      </c>
      <c r="C111" t="s">
        <v>35</v>
      </c>
      <c r="D111">
        <v>4031</v>
      </c>
      <c r="E111">
        <v>82</v>
      </c>
      <c r="F111">
        <v>18</v>
      </c>
      <c r="G111">
        <v>2024</v>
      </c>
      <c r="H111">
        <v>437539</v>
      </c>
      <c r="I111" t="s">
        <v>48</v>
      </c>
      <c r="J111" t="s">
        <v>58</v>
      </c>
    </row>
    <row r="112" spans="1:10" x14ac:dyDescent="0.45">
      <c r="A112">
        <v>111</v>
      </c>
      <c r="B112" t="s">
        <v>11</v>
      </c>
      <c r="C112" t="s">
        <v>31</v>
      </c>
      <c r="D112">
        <v>840</v>
      </c>
      <c r="E112">
        <v>72</v>
      </c>
      <c r="F112">
        <v>28</v>
      </c>
      <c r="G112">
        <v>2025</v>
      </c>
      <c r="H112">
        <v>376408</v>
      </c>
      <c r="I112" t="s">
        <v>48</v>
      </c>
      <c r="J112" t="s">
        <v>51</v>
      </c>
    </row>
    <row r="113" spans="1:10" x14ac:dyDescent="0.45">
      <c r="A113">
        <v>112</v>
      </c>
      <c r="B113" t="s">
        <v>27</v>
      </c>
      <c r="C113" t="s">
        <v>36</v>
      </c>
      <c r="D113">
        <v>2668</v>
      </c>
      <c r="E113">
        <v>72</v>
      </c>
      <c r="F113">
        <v>28</v>
      </c>
      <c r="G113">
        <v>2021</v>
      </c>
      <c r="H113">
        <v>482070</v>
      </c>
      <c r="I113" t="s">
        <v>48</v>
      </c>
      <c r="J113" t="s">
        <v>52</v>
      </c>
    </row>
    <row r="114" spans="1:10" x14ac:dyDescent="0.45">
      <c r="A114">
        <v>113</v>
      </c>
      <c r="B114" t="s">
        <v>28</v>
      </c>
      <c r="C114" t="s">
        <v>43</v>
      </c>
      <c r="D114">
        <v>2243</v>
      </c>
      <c r="E114">
        <v>59</v>
      </c>
      <c r="F114">
        <v>41</v>
      </c>
      <c r="G114">
        <v>2022</v>
      </c>
      <c r="H114">
        <v>189999</v>
      </c>
      <c r="I114" t="s">
        <v>48</v>
      </c>
      <c r="J114" t="s">
        <v>62</v>
      </c>
    </row>
    <row r="115" spans="1:10" x14ac:dyDescent="0.45">
      <c r="A115">
        <v>114</v>
      </c>
      <c r="B115" t="s">
        <v>19</v>
      </c>
      <c r="C115" t="s">
        <v>39</v>
      </c>
      <c r="D115">
        <v>324</v>
      </c>
      <c r="E115">
        <v>63</v>
      </c>
      <c r="F115">
        <v>37</v>
      </c>
      <c r="G115">
        <v>2021</v>
      </c>
      <c r="H115">
        <v>511479</v>
      </c>
      <c r="I115" t="s">
        <v>48</v>
      </c>
      <c r="J115" t="s">
        <v>60</v>
      </c>
    </row>
    <row r="116" spans="1:10" x14ac:dyDescent="0.45">
      <c r="A116">
        <v>115</v>
      </c>
      <c r="B116" t="s">
        <v>20</v>
      </c>
      <c r="C116" t="s">
        <v>40</v>
      </c>
      <c r="D116">
        <v>4476</v>
      </c>
      <c r="E116">
        <v>74</v>
      </c>
      <c r="F116">
        <v>26</v>
      </c>
      <c r="G116">
        <v>2021</v>
      </c>
      <c r="H116">
        <v>293631</v>
      </c>
      <c r="I116" t="s">
        <v>48</v>
      </c>
      <c r="J116" t="s">
        <v>52</v>
      </c>
    </row>
    <row r="117" spans="1:10" x14ac:dyDescent="0.45">
      <c r="A117">
        <v>116</v>
      </c>
      <c r="B117" t="s">
        <v>17</v>
      </c>
      <c r="C117" t="s">
        <v>37</v>
      </c>
      <c r="D117">
        <v>2428</v>
      </c>
      <c r="E117">
        <v>58</v>
      </c>
      <c r="F117">
        <v>42</v>
      </c>
      <c r="G117">
        <v>2021</v>
      </c>
      <c r="H117">
        <v>481960</v>
      </c>
      <c r="I117" t="s">
        <v>48</v>
      </c>
      <c r="J117" t="s">
        <v>61</v>
      </c>
    </row>
    <row r="118" spans="1:10" x14ac:dyDescent="0.45">
      <c r="A118">
        <v>117</v>
      </c>
      <c r="B118" t="s">
        <v>28</v>
      </c>
      <c r="C118" t="s">
        <v>43</v>
      </c>
      <c r="D118">
        <v>4264</v>
      </c>
      <c r="E118">
        <v>56</v>
      </c>
      <c r="F118">
        <v>44</v>
      </c>
      <c r="G118">
        <v>2021</v>
      </c>
      <c r="H118">
        <v>380509</v>
      </c>
      <c r="I118" t="s">
        <v>48</v>
      </c>
      <c r="J118" t="s">
        <v>58</v>
      </c>
    </row>
    <row r="119" spans="1:10" x14ac:dyDescent="0.45">
      <c r="A119">
        <v>118</v>
      </c>
      <c r="B119" t="s">
        <v>14</v>
      </c>
      <c r="C119" t="s">
        <v>34</v>
      </c>
      <c r="D119">
        <v>597</v>
      </c>
      <c r="E119">
        <v>70</v>
      </c>
      <c r="F119">
        <v>30</v>
      </c>
      <c r="G119">
        <v>2020</v>
      </c>
      <c r="H119">
        <v>558722</v>
      </c>
      <c r="I119" t="s">
        <v>48</v>
      </c>
      <c r="J119" t="s">
        <v>59</v>
      </c>
    </row>
    <row r="120" spans="1:10" x14ac:dyDescent="0.45">
      <c r="A120">
        <v>119</v>
      </c>
      <c r="B120" t="s">
        <v>15</v>
      </c>
      <c r="C120" t="s">
        <v>35</v>
      </c>
      <c r="D120">
        <v>4236</v>
      </c>
      <c r="E120">
        <v>59</v>
      </c>
      <c r="F120">
        <v>41</v>
      </c>
      <c r="G120">
        <v>2024</v>
      </c>
      <c r="H120">
        <v>192860</v>
      </c>
      <c r="I120" t="s">
        <v>48</v>
      </c>
      <c r="J120" t="s">
        <v>62</v>
      </c>
    </row>
    <row r="121" spans="1:10" x14ac:dyDescent="0.45">
      <c r="A121">
        <v>120</v>
      </c>
      <c r="B121" t="s">
        <v>25</v>
      </c>
      <c r="C121" t="s">
        <v>45</v>
      </c>
      <c r="D121">
        <v>3571</v>
      </c>
      <c r="E121">
        <v>81</v>
      </c>
      <c r="F121">
        <v>19</v>
      </c>
      <c r="G121">
        <v>2024</v>
      </c>
      <c r="H121">
        <v>216647</v>
      </c>
      <c r="I121" t="s">
        <v>48</v>
      </c>
      <c r="J121" t="s">
        <v>62</v>
      </c>
    </row>
    <row r="122" spans="1:10" x14ac:dyDescent="0.45">
      <c r="A122">
        <v>121</v>
      </c>
      <c r="B122" t="s">
        <v>14</v>
      </c>
      <c r="C122" t="s">
        <v>34</v>
      </c>
      <c r="D122">
        <v>4824</v>
      </c>
      <c r="E122">
        <v>45</v>
      </c>
      <c r="F122">
        <v>55</v>
      </c>
      <c r="G122">
        <v>2024</v>
      </c>
      <c r="H122">
        <v>498900</v>
      </c>
      <c r="I122" t="s">
        <v>49</v>
      </c>
      <c r="J122" t="s">
        <v>64</v>
      </c>
    </row>
    <row r="123" spans="1:10" x14ac:dyDescent="0.45">
      <c r="A123">
        <v>122</v>
      </c>
      <c r="B123" t="s">
        <v>16</v>
      </c>
      <c r="C123" t="s">
        <v>36</v>
      </c>
      <c r="D123">
        <v>4058</v>
      </c>
      <c r="E123">
        <v>62</v>
      </c>
      <c r="F123">
        <v>38</v>
      </c>
      <c r="G123">
        <v>2023</v>
      </c>
      <c r="H123">
        <v>361351</v>
      </c>
      <c r="I123" t="s">
        <v>48</v>
      </c>
      <c r="J123" t="s">
        <v>60</v>
      </c>
    </row>
    <row r="124" spans="1:10" x14ac:dyDescent="0.45">
      <c r="A124">
        <v>123</v>
      </c>
      <c r="B124" t="s">
        <v>26</v>
      </c>
      <c r="C124" t="s">
        <v>46</v>
      </c>
      <c r="D124">
        <v>4479</v>
      </c>
      <c r="E124">
        <v>67</v>
      </c>
      <c r="F124">
        <v>33</v>
      </c>
      <c r="G124">
        <v>2022</v>
      </c>
      <c r="H124">
        <v>191978</v>
      </c>
      <c r="I124" t="s">
        <v>48</v>
      </c>
      <c r="J124" t="s">
        <v>58</v>
      </c>
    </row>
    <row r="125" spans="1:10" x14ac:dyDescent="0.45">
      <c r="A125">
        <v>124</v>
      </c>
      <c r="B125" t="s">
        <v>27</v>
      </c>
      <c r="C125" t="s">
        <v>36</v>
      </c>
      <c r="D125">
        <v>3218</v>
      </c>
      <c r="E125">
        <v>85</v>
      </c>
      <c r="F125">
        <v>15</v>
      </c>
      <c r="G125">
        <v>2022</v>
      </c>
      <c r="H125">
        <v>530366</v>
      </c>
      <c r="I125" t="s">
        <v>48</v>
      </c>
      <c r="J125" t="s">
        <v>61</v>
      </c>
    </row>
    <row r="126" spans="1:10" x14ac:dyDescent="0.45">
      <c r="A126">
        <v>125</v>
      </c>
      <c r="B126" t="s">
        <v>24</v>
      </c>
      <c r="C126" t="s">
        <v>44</v>
      </c>
      <c r="D126">
        <v>2846</v>
      </c>
      <c r="E126">
        <v>68</v>
      </c>
      <c r="F126">
        <v>32</v>
      </c>
      <c r="G126">
        <v>2023</v>
      </c>
      <c r="H126">
        <v>264583</v>
      </c>
      <c r="I126" t="s">
        <v>48</v>
      </c>
      <c r="J126" t="s">
        <v>58</v>
      </c>
    </row>
    <row r="127" spans="1:10" x14ac:dyDescent="0.45">
      <c r="A127">
        <v>126</v>
      </c>
      <c r="B127" t="s">
        <v>27</v>
      </c>
      <c r="C127" t="s">
        <v>36</v>
      </c>
      <c r="D127">
        <v>1087</v>
      </c>
      <c r="E127">
        <v>63</v>
      </c>
      <c r="F127">
        <v>37</v>
      </c>
      <c r="G127">
        <v>2025</v>
      </c>
      <c r="H127">
        <v>381669</v>
      </c>
      <c r="I127" t="s">
        <v>48</v>
      </c>
      <c r="J127" t="s">
        <v>58</v>
      </c>
    </row>
    <row r="128" spans="1:10" x14ac:dyDescent="0.45">
      <c r="A128">
        <v>127</v>
      </c>
      <c r="B128" t="s">
        <v>23</v>
      </c>
      <c r="C128" t="s">
        <v>43</v>
      </c>
      <c r="D128">
        <v>2876</v>
      </c>
      <c r="E128">
        <v>61</v>
      </c>
      <c r="F128">
        <v>39</v>
      </c>
      <c r="G128">
        <v>2021</v>
      </c>
      <c r="H128">
        <v>354674</v>
      </c>
      <c r="I128" t="s">
        <v>48</v>
      </c>
      <c r="J128" t="s">
        <v>64</v>
      </c>
    </row>
    <row r="129" spans="1:10" x14ac:dyDescent="0.45">
      <c r="A129">
        <v>128</v>
      </c>
      <c r="B129" t="s">
        <v>12</v>
      </c>
      <c r="C129" t="s">
        <v>32</v>
      </c>
      <c r="D129">
        <v>3680</v>
      </c>
      <c r="E129">
        <v>53</v>
      </c>
      <c r="F129">
        <v>47</v>
      </c>
      <c r="G129">
        <v>2025</v>
      </c>
      <c r="H129">
        <v>221051</v>
      </c>
      <c r="I129" t="s">
        <v>48</v>
      </c>
      <c r="J129" t="s">
        <v>52</v>
      </c>
    </row>
    <row r="130" spans="1:10" x14ac:dyDescent="0.45">
      <c r="A130">
        <v>129</v>
      </c>
      <c r="B130" t="s">
        <v>24</v>
      </c>
      <c r="C130" t="s">
        <v>44</v>
      </c>
      <c r="D130">
        <v>1583</v>
      </c>
      <c r="E130">
        <v>83</v>
      </c>
      <c r="F130">
        <v>17</v>
      </c>
      <c r="G130">
        <v>2024</v>
      </c>
      <c r="H130">
        <v>420051</v>
      </c>
      <c r="I130" t="s">
        <v>48</v>
      </c>
      <c r="J130" t="s">
        <v>60</v>
      </c>
    </row>
    <row r="131" spans="1:10" x14ac:dyDescent="0.45">
      <c r="A131">
        <v>130</v>
      </c>
      <c r="B131" t="s">
        <v>26</v>
      </c>
      <c r="C131" t="s">
        <v>46</v>
      </c>
      <c r="D131">
        <v>1617</v>
      </c>
      <c r="E131">
        <v>73</v>
      </c>
      <c r="F131">
        <v>27</v>
      </c>
      <c r="G131">
        <v>2024</v>
      </c>
      <c r="H131">
        <v>511997</v>
      </c>
      <c r="I131" t="s">
        <v>48</v>
      </c>
      <c r="J131" t="s">
        <v>62</v>
      </c>
    </row>
    <row r="132" spans="1:10" x14ac:dyDescent="0.45">
      <c r="A132">
        <v>131</v>
      </c>
      <c r="B132" t="s">
        <v>22</v>
      </c>
      <c r="C132" t="s">
        <v>42</v>
      </c>
      <c r="D132">
        <v>1011</v>
      </c>
      <c r="E132">
        <v>56</v>
      </c>
      <c r="F132">
        <v>44</v>
      </c>
      <c r="G132">
        <v>2023</v>
      </c>
      <c r="H132">
        <v>379316</v>
      </c>
      <c r="I132" t="s">
        <v>48</v>
      </c>
      <c r="J132" t="s">
        <v>50</v>
      </c>
    </row>
    <row r="133" spans="1:10" x14ac:dyDescent="0.45">
      <c r="A133">
        <v>132</v>
      </c>
      <c r="B133" t="s">
        <v>29</v>
      </c>
      <c r="C133" t="s">
        <v>47</v>
      </c>
      <c r="D133">
        <v>3582</v>
      </c>
      <c r="E133">
        <v>82</v>
      </c>
      <c r="F133">
        <v>18</v>
      </c>
      <c r="G133">
        <v>2025</v>
      </c>
      <c r="H133">
        <v>534944</v>
      </c>
      <c r="I133" t="s">
        <v>48</v>
      </c>
      <c r="J133" t="s">
        <v>64</v>
      </c>
    </row>
    <row r="134" spans="1:10" x14ac:dyDescent="0.45">
      <c r="A134">
        <v>133</v>
      </c>
      <c r="B134" t="s">
        <v>14</v>
      </c>
      <c r="C134" t="s">
        <v>34</v>
      </c>
      <c r="D134">
        <v>4659</v>
      </c>
      <c r="E134">
        <v>83</v>
      </c>
      <c r="F134">
        <v>17</v>
      </c>
      <c r="G134">
        <v>2022</v>
      </c>
      <c r="H134">
        <v>273106</v>
      </c>
      <c r="I134" t="s">
        <v>48</v>
      </c>
      <c r="J134" t="s">
        <v>55</v>
      </c>
    </row>
    <row r="135" spans="1:10" x14ac:dyDescent="0.45">
      <c r="A135">
        <v>134</v>
      </c>
      <c r="B135" t="s">
        <v>15</v>
      </c>
      <c r="C135" t="s">
        <v>35</v>
      </c>
      <c r="D135">
        <v>4463</v>
      </c>
      <c r="E135">
        <v>50</v>
      </c>
      <c r="F135">
        <v>50</v>
      </c>
      <c r="G135">
        <v>2022</v>
      </c>
      <c r="H135">
        <v>529551</v>
      </c>
      <c r="I135" t="s">
        <v>49</v>
      </c>
      <c r="J135" t="s">
        <v>63</v>
      </c>
    </row>
    <row r="136" spans="1:10" x14ac:dyDescent="0.45">
      <c r="A136">
        <v>135</v>
      </c>
      <c r="B136" t="s">
        <v>27</v>
      </c>
      <c r="C136" t="s">
        <v>36</v>
      </c>
      <c r="D136">
        <v>2067</v>
      </c>
      <c r="E136">
        <v>66</v>
      </c>
      <c r="F136">
        <v>34</v>
      </c>
      <c r="G136">
        <v>2020</v>
      </c>
      <c r="H136">
        <v>557351</v>
      </c>
      <c r="I136" t="s">
        <v>48</v>
      </c>
      <c r="J136" t="s">
        <v>63</v>
      </c>
    </row>
    <row r="137" spans="1:10" x14ac:dyDescent="0.45">
      <c r="A137">
        <v>136</v>
      </c>
      <c r="B137" t="s">
        <v>21</v>
      </c>
      <c r="C137" t="s">
        <v>41</v>
      </c>
      <c r="D137">
        <v>2766</v>
      </c>
      <c r="E137">
        <v>77</v>
      </c>
      <c r="F137">
        <v>23</v>
      </c>
      <c r="G137">
        <v>2024</v>
      </c>
      <c r="H137">
        <v>241903</v>
      </c>
      <c r="I137" t="s">
        <v>48</v>
      </c>
      <c r="J137" t="s">
        <v>50</v>
      </c>
    </row>
    <row r="138" spans="1:10" x14ac:dyDescent="0.45">
      <c r="A138">
        <v>137</v>
      </c>
      <c r="B138" t="s">
        <v>26</v>
      </c>
      <c r="C138" t="s">
        <v>46</v>
      </c>
      <c r="D138">
        <v>1013</v>
      </c>
      <c r="E138">
        <v>67</v>
      </c>
      <c r="F138">
        <v>33</v>
      </c>
      <c r="G138">
        <v>2023</v>
      </c>
      <c r="H138">
        <v>286055</v>
      </c>
      <c r="I138" t="s">
        <v>48</v>
      </c>
      <c r="J138" t="s">
        <v>50</v>
      </c>
    </row>
    <row r="139" spans="1:10" x14ac:dyDescent="0.45">
      <c r="A139">
        <v>138</v>
      </c>
      <c r="B139" t="s">
        <v>16</v>
      </c>
      <c r="C139" t="s">
        <v>36</v>
      </c>
      <c r="D139">
        <v>1161</v>
      </c>
      <c r="E139">
        <v>49</v>
      </c>
      <c r="F139">
        <v>51</v>
      </c>
      <c r="G139">
        <v>2025</v>
      </c>
      <c r="H139">
        <v>403482</v>
      </c>
      <c r="I139" t="s">
        <v>49</v>
      </c>
      <c r="J139" t="s">
        <v>61</v>
      </c>
    </row>
    <row r="140" spans="1:10" x14ac:dyDescent="0.45">
      <c r="A140">
        <v>139</v>
      </c>
      <c r="B140" t="s">
        <v>12</v>
      </c>
      <c r="C140" t="s">
        <v>32</v>
      </c>
      <c r="D140">
        <v>526</v>
      </c>
      <c r="E140">
        <v>85</v>
      </c>
      <c r="F140">
        <v>15</v>
      </c>
      <c r="G140">
        <v>2021</v>
      </c>
      <c r="H140">
        <v>448055</v>
      </c>
      <c r="I140" t="s">
        <v>48</v>
      </c>
      <c r="J140" t="s">
        <v>58</v>
      </c>
    </row>
    <row r="141" spans="1:10" x14ac:dyDescent="0.45">
      <c r="A141">
        <v>140</v>
      </c>
      <c r="B141" t="s">
        <v>18</v>
      </c>
      <c r="C141" t="s">
        <v>38</v>
      </c>
      <c r="D141">
        <v>4415</v>
      </c>
      <c r="E141">
        <v>47</v>
      </c>
      <c r="F141">
        <v>53</v>
      </c>
      <c r="G141">
        <v>2021</v>
      </c>
      <c r="H141">
        <v>250238</v>
      </c>
      <c r="I141" t="s">
        <v>49</v>
      </c>
      <c r="J141" t="s">
        <v>58</v>
      </c>
    </row>
    <row r="142" spans="1:10" x14ac:dyDescent="0.45">
      <c r="A142">
        <v>141</v>
      </c>
      <c r="B142" t="s">
        <v>11</v>
      </c>
      <c r="C142" t="s">
        <v>31</v>
      </c>
      <c r="D142">
        <v>1547</v>
      </c>
      <c r="E142">
        <v>67</v>
      </c>
      <c r="F142">
        <v>33</v>
      </c>
      <c r="G142">
        <v>2024</v>
      </c>
      <c r="H142">
        <v>386792</v>
      </c>
      <c r="I142" t="s">
        <v>48</v>
      </c>
      <c r="J142" t="s">
        <v>58</v>
      </c>
    </row>
    <row r="143" spans="1:10" x14ac:dyDescent="0.45">
      <c r="A143">
        <v>142</v>
      </c>
      <c r="B143" t="s">
        <v>27</v>
      </c>
      <c r="C143" t="s">
        <v>36</v>
      </c>
      <c r="D143">
        <v>4270</v>
      </c>
      <c r="E143">
        <v>45</v>
      </c>
      <c r="F143">
        <v>55</v>
      </c>
      <c r="G143">
        <v>2024</v>
      </c>
      <c r="H143">
        <v>204915</v>
      </c>
      <c r="I143" t="s">
        <v>49</v>
      </c>
      <c r="J143" t="s">
        <v>61</v>
      </c>
    </row>
    <row r="144" spans="1:10" x14ac:dyDescent="0.45">
      <c r="A144">
        <v>143</v>
      </c>
      <c r="B144" t="s">
        <v>16</v>
      </c>
      <c r="C144" t="s">
        <v>36</v>
      </c>
      <c r="D144">
        <v>590</v>
      </c>
      <c r="E144">
        <v>40</v>
      </c>
      <c r="F144">
        <v>60</v>
      </c>
      <c r="G144">
        <v>2024</v>
      </c>
      <c r="H144">
        <v>485856</v>
      </c>
      <c r="I144" t="s">
        <v>49</v>
      </c>
      <c r="J144" t="s">
        <v>51</v>
      </c>
    </row>
    <row r="145" spans="1:10" x14ac:dyDescent="0.45">
      <c r="A145">
        <v>144</v>
      </c>
      <c r="B145" t="s">
        <v>13</v>
      </c>
      <c r="C145" t="s">
        <v>33</v>
      </c>
      <c r="D145">
        <v>2614</v>
      </c>
      <c r="E145">
        <v>84</v>
      </c>
      <c r="F145">
        <v>16</v>
      </c>
      <c r="G145">
        <v>2020</v>
      </c>
      <c r="H145">
        <v>359254</v>
      </c>
      <c r="I145" t="s">
        <v>48</v>
      </c>
      <c r="J145" t="s">
        <v>59</v>
      </c>
    </row>
    <row r="146" spans="1:10" x14ac:dyDescent="0.45">
      <c r="A146">
        <v>145</v>
      </c>
      <c r="B146" t="s">
        <v>10</v>
      </c>
      <c r="C146" t="s">
        <v>30</v>
      </c>
      <c r="D146">
        <v>3375</v>
      </c>
      <c r="E146">
        <v>62</v>
      </c>
      <c r="F146">
        <v>38</v>
      </c>
      <c r="G146">
        <v>2021</v>
      </c>
      <c r="H146">
        <v>274706</v>
      </c>
      <c r="I146" t="s">
        <v>48</v>
      </c>
      <c r="J146" t="s">
        <v>64</v>
      </c>
    </row>
    <row r="147" spans="1:10" x14ac:dyDescent="0.45">
      <c r="A147">
        <v>146</v>
      </c>
      <c r="B147" t="s">
        <v>19</v>
      </c>
      <c r="C147" t="s">
        <v>39</v>
      </c>
      <c r="D147">
        <v>2094</v>
      </c>
      <c r="E147">
        <v>57</v>
      </c>
      <c r="F147">
        <v>43</v>
      </c>
      <c r="G147">
        <v>2021</v>
      </c>
      <c r="H147">
        <v>536677</v>
      </c>
      <c r="I147" t="s">
        <v>48</v>
      </c>
      <c r="J147" t="s">
        <v>58</v>
      </c>
    </row>
    <row r="148" spans="1:10" x14ac:dyDescent="0.45">
      <c r="A148">
        <v>147</v>
      </c>
      <c r="B148" t="s">
        <v>26</v>
      </c>
      <c r="C148" t="s">
        <v>46</v>
      </c>
      <c r="D148">
        <v>2740</v>
      </c>
      <c r="E148">
        <v>76</v>
      </c>
      <c r="F148">
        <v>24</v>
      </c>
      <c r="G148">
        <v>2023</v>
      </c>
      <c r="H148">
        <v>321610</v>
      </c>
      <c r="I148" t="s">
        <v>48</v>
      </c>
      <c r="J148" t="s">
        <v>61</v>
      </c>
    </row>
    <row r="149" spans="1:10" x14ac:dyDescent="0.45">
      <c r="A149">
        <v>148</v>
      </c>
      <c r="B149" t="s">
        <v>15</v>
      </c>
      <c r="C149" t="s">
        <v>35</v>
      </c>
      <c r="D149">
        <v>1216</v>
      </c>
      <c r="E149">
        <v>49</v>
      </c>
      <c r="F149">
        <v>51</v>
      </c>
      <c r="G149">
        <v>2022</v>
      </c>
      <c r="H149">
        <v>240668</v>
      </c>
      <c r="I149" t="s">
        <v>49</v>
      </c>
      <c r="J149" t="s">
        <v>63</v>
      </c>
    </row>
    <row r="150" spans="1:10" x14ac:dyDescent="0.45">
      <c r="A150">
        <v>149</v>
      </c>
      <c r="B150" t="s">
        <v>21</v>
      </c>
      <c r="C150" t="s">
        <v>41</v>
      </c>
      <c r="D150">
        <v>4437</v>
      </c>
      <c r="E150">
        <v>42</v>
      </c>
      <c r="F150">
        <v>58</v>
      </c>
      <c r="G150">
        <v>2024</v>
      </c>
      <c r="H150">
        <v>259121</v>
      </c>
      <c r="I150" t="s">
        <v>49</v>
      </c>
      <c r="J150" t="s">
        <v>53</v>
      </c>
    </row>
    <row r="151" spans="1:10" x14ac:dyDescent="0.45">
      <c r="A151">
        <v>150</v>
      </c>
      <c r="B151" t="s">
        <v>22</v>
      </c>
      <c r="C151" t="s">
        <v>42</v>
      </c>
      <c r="D151">
        <v>493</v>
      </c>
      <c r="E151">
        <v>76</v>
      </c>
      <c r="F151">
        <v>24</v>
      </c>
      <c r="G151">
        <v>2021</v>
      </c>
      <c r="H151">
        <v>185014</v>
      </c>
      <c r="I151" t="s">
        <v>48</v>
      </c>
      <c r="J151" t="s">
        <v>60</v>
      </c>
    </row>
    <row r="152" spans="1:10" x14ac:dyDescent="0.45">
      <c r="A152">
        <v>151</v>
      </c>
      <c r="B152" t="s">
        <v>21</v>
      </c>
      <c r="C152" t="s">
        <v>41</v>
      </c>
      <c r="D152">
        <v>3869</v>
      </c>
      <c r="E152">
        <v>66</v>
      </c>
      <c r="F152">
        <v>34</v>
      </c>
      <c r="G152">
        <v>2022</v>
      </c>
      <c r="H152">
        <v>381930</v>
      </c>
      <c r="I152" t="s">
        <v>48</v>
      </c>
      <c r="J152" t="s">
        <v>59</v>
      </c>
    </row>
    <row r="153" spans="1:10" x14ac:dyDescent="0.45">
      <c r="A153">
        <v>152</v>
      </c>
      <c r="B153" t="s">
        <v>16</v>
      </c>
      <c r="C153" t="s">
        <v>36</v>
      </c>
      <c r="D153">
        <v>4118</v>
      </c>
      <c r="E153">
        <v>57</v>
      </c>
      <c r="F153">
        <v>43</v>
      </c>
      <c r="G153">
        <v>2024</v>
      </c>
      <c r="H153">
        <v>273051</v>
      </c>
      <c r="I153" t="s">
        <v>48</v>
      </c>
      <c r="J153" t="s">
        <v>50</v>
      </c>
    </row>
    <row r="154" spans="1:10" x14ac:dyDescent="0.45">
      <c r="A154">
        <v>153</v>
      </c>
      <c r="B154" t="s">
        <v>15</v>
      </c>
      <c r="C154" t="s">
        <v>35</v>
      </c>
      <c r="D154">
        <v>3176</v>
      </c>
      <c r="E154">
        <v>43</v>
      </c>
      <c r="F154">
        <v>57</v>
      </c>
      <c r="G154">
        <v>2024</v>
      </c>
      <c r="H154">
        <v>531564</v>
      </c>
      <c r="I154" t="s">
        <v>49</v>
      </c>
      <c r="J154" t="s">
        <v>55</v>
      </c>
    </row>
    <row r="155" spans="1:10" x14ac:dyDescent="0.45">
      <c r="A155">
        <v>154</v>
      </c>
      <c r="B155" t="s">
        <v>26</v>
      </c>
      <c r="C155" t="s">
        <v>46</v>
      </c>
      <c r="D155">
        <v>3594</v>
      </c>
      <c r="E155">
        <v>45</v>
      </c>
      <c r="F155">
        <v>55</v>
      </c>
      <c r="G155">
        <v>2021</v>
      </c>
      <c r="H155">
        <v>214445</v>
      </c>
      <c r="I155" t="s">
        <v>49</v>
      </c>
      <c r="J155" t="s">
        <v>57</v>
      </c>
    </row>
    <row r="156" spans="1:10" x14ac:dyDescent="0.45">
      <c r="A156">
        <v>155</v>
      </c>
      <c r="B156" t="s">
        <v>14</v>
      </c>
      <c r="C156" t="s">
        <v>34</v>
      </c>
      <c r="D156">
        <v>1833</v>
      </c>
      <c r="E156">
        <v>48</v>
      </c>
      <c r="F156">
        <v>52</v>
      </c>
      <c r="G156">
        <v>2023</v>
      </c>
      <c r="H156">
        <v>526039</v>
      </c>
      <c r="I156" t="s">
        <v>49</v>
      </c>
      <c r="J156" t="s">
        <v>63</v>
      </c>
    </row>
    <row r="157" spans="1:10" x14ac:dyDescent="0.45">
      <c r="A157">
        <v>156</v>
      </c>
      <c r="B157" t="s">
        <v>27</v>
      </c>
      <c r="C157" t="s">
        <v>36</v>
      </c>
      <c r="D157">
        <v>3907</v>
      </c>
      <c r="E157">
        <v>76</v>
      </c>
      <c r="F157">
        <v>24</v>
      </c>
      <c r="G157">
        <v>2023</v>
      </c>
      <c r="H157">
        <v>291451</v>
      </c>
      <c r="I157" t="s">
        <v>48</v>
      </c>
      <c r="J157" t="s">
        <v>50</v>
      </c>
    </row>
    <row r="158" spans="1:10" x14ac:dyDescent="0.45">
      <c r="A158">
        <v>157</v>
      </c>
      <c r="B158" t="s">
        <v>25</v>
      </c>
      <c r="C158" t="s">
        <v>45</v>
      </c>
      <c r="D158">
        <v>2994</v>
      </c>
      <c r="E158">
        <v>82</v>
      </c>
      <c r="F158">
        <v>18</v>
      </c>
      <c r="G158">
        <v>2023</v>
      </c>
      <c r="H158">
        <v>410359</v>
      </c>
      <c r="I158" t="s">
        <v>48</v>
      </c>
      <c r="J158" t="s">
        <v>62</v>
      </c>
    </row>
    <row r="159" spans="1:10" x14ac:dyDescent="0.45">
      <c r="A159">
        <v>158</v>
      </c>
      <c r="B159" t="s">
        <v>23</v>
      </c>
      <c r="C159" t="s">
        <v>43</v>
      </c>
      <c r="D159">
        <v>2146</v>
      </c>
      <c r="E159">
        <v>64</v>
      </c>
      <c r="F159">
        <v>36</v>
      </c>
      <c r="G159">
        <v>2025</v>
      </c>
      <c r="H159">
        <v>318026</v>
      </c>
      <c r="I159" t="s">
        <v>48</v>
      </c>
      <c r="J159" t="s">
        <v>57</v>
      </c>
    </row>
    <row r="160" spans="1:10" x14ac:dyDescent="0.45">
      <c r="A160">
        <v>159</v>
      </c>
      <c r="B160" t="s">
        <v>20</v>
      </c>
      <c r="C160" t="s">
        <v>40</v>
      </c>
      <c r="D160">
        <v>2288</v>
      </c>
      <c r="E160">
        <v>52</v>
      </c>
      <c r="F160">
        <v>48</v>
      </c>
      <c r="G160">
        <v>2023</v>
      </c>
      <c r="H160">
        <v>549911</v>
      </c>
      <c r="I160" t="s">
        <v>48</v>
      </c>
      <c r="J160" t="s">
        <v>57</v>
      </c>
    </row>
    <row r="161" spans="1:10" x14ac:dyDescent="0.45">
      <c r="A161">
        <v>160</v>
      </c>
      <c r="B161" t="s">
        <v>19</v>
      </c>
      <c r="C161" t="s">
        <v>39</v>
      </c>
      <c r="D161">
        <v>2716</v>
      </c>
      <c r="E161">
        <v>52</v>
      </c>
      <c r="F161">
        <v>48</v>
      </c>
      <c r="G161">
        <v>2023</v>
      </c>
      <c r="H161">
        <v>216371</v>
      </c>
      <c r="I161" t="s">
        <v>48</v>
      </c>
      <c r="J161" t="s">
        <v>52</v>
      </c>
    </row>
    <row r="162" spans="1:10" x14ac:dyDescent="0.45">
      <c r="A162">
        <v>161</v>
      </c>
      <c r="B162" t="s">
        <v>19</v>
      </c>
      <c r="C162" t="s">
        <v>39</v>
      </c>
      <c r="D162">
        <v>3988</v>
      </c>
      <c r="E162">
        <v>64</v>
      </c>
      <c r="F162">
        <v>36</v>
      </c>
      <c r="G162">
        <v>2024</v>
      </c>
      <c r="H162">
        <v>412480</v>
      </c>
      <c r="I162" t="s">
        <v>48</v>
      </c>
      <c r="J162" t="s">
        <v>50</v>
      </c>
    </row>
    <row r="163" spans="1:10" x14ac:dyDescent="0.45">
      <c r="A163">
        <v>162</v>
      </c>
      <c r="B163" t="s">
        <v>17</v>
      </c>
      <c r="C163" t="s">
        <v>37</v>
      </c>
      <c r="D163">
        <v>1329</v>
      </c>
      <c r="E163">
        <v>76</v>
      </c>
      <c r="F163">
        <v>24</v>
      </c>
      <c r="G163">
        <v>2022</v>
      </c>
      <c r="H163">
        <v>318993</v>
      </c>
      <c r="I163" t="s">
        <v>48</v>
      </c>
      <c r="J163" t="s">
        <v>59</v>
      </c>
    </row>
    <row r="164" spans="1:10" x14ac:dyDescent="0.45">
      <c r="A164">
        <v>163</v>
      </c>
      <c r="B164" t="s">
        <v>19</v>
      </c>
      <c r="C164" t="s">
        <v>39</v>
      </c>
      <c r="D164">
        <v>888</v>
      </c>
      <c r="E164">
        <v>66</v>
      </c>
      <c r="F164">
        <v>34</v>
      </c>
      <c r="G164">
        <v>2023</v>
      </c>
      <c r="H164">
        <v>250303</v>
      </c>
      <c r="I164" t="s">
        <v>48</v>
      </c>
      <c r="J164" t="s">
        <v>51</v>
      </c>
    </row>
    <row r="165" spans="1:10" x14ac:dyDescent="0.45">
      <c r="A165">
        <v>164</v>
      </c>
      <c r="B165" t="s">
        <v>29</v>
      </c>
      <c r="C165" t="s">
        <v>47</v>
      </c>
      <c r="D165">
        <v>4147</v>
      </c>
      <c r="E165">
        <v>67</v>
      </c>
      <c r="F165">
        <v>33</v>
      </c>
      <c r="G165">
        <v>2025</v>
      </c>
      <c r="H165">
        <v>346284</v>
      </c>
      <c r="I165" t="s">
        <v>48</v>
      </c>
      <c r="J165" t="s">
        <v>50</v>
      </c>
    </row>
    <row r="166" spans="1:10" x14ac:dyDescent="0.45">
      <c r="A166">
        <v>165</v>
      </c>
      <c r="B166" t="s">
        <v>21</v>
      </c>
      <c r="C166" t="s">
        <v>41</v>
      </c>
      <c r="D166">
        <v>3574</v>
      </c>
      <c r="E166">
        <v>45</v>
      </c>
      <c r="F166">
        <v>55</v>
      </c>
      <c r="G166">
        <v>2020</v>
      </c>
      <c r="H166">
        <v>340901</v>
      </c>
      <c r="I166" t="s">
        <v>49</v>
      </c>
      <c r="J166" t="s">
        <v>55</v>
      </c>
    </row>
    <row r="167" spans="1:10" x14ac:dyDescent="0.45">
      <c r="A167">
        <v>166</v>
      </c>
      <c r="B167" t="s">
        <v>14</v>
      </c>
      <c r="C167" t="s">
        <v>34</v>
      </c>
      <c r="D167">
        <v>3827</v>
      </c>
      <c r="E167">
        <v>50</v>
      </c>
      <c r="F167">
        <v>50</v>
      </c>
      <c r="G167">
        <v>2022</v>
      </c>
      <c r="H167">
        <v>423302</v>
      </c>
      <c r="I167" t="s">
        <v>49</v>
      </c>
      <c r="J167" t="s">
        <v>55</v>
      </c>
    </row>
    <row r="168" spans="1:10" x14ac:dyDescent="0.45">
      <c r="A168">
        <v>167</v>
      </c>
      <c r="B168" t="s">
        <v>12</v>
      </c>
      <c r="C168" t="s">
        <v>32</v>
      </c>
      <c r="D168">
        <v>4325</v>
      </c>
      <c r="E168">
        <v>67</v>
      </c>
      <c r="F168">
        <v>33</v>
      </c>
      <c r="G168">
        <v>2020</v>
      </c>
      <c r="H168">
        <v>473872</v>
      </c>
      <c r="I168" t="s">
        <v>48</v>
      </c>
      <c r="J168" t="s">
        <v>63</v>
      </c>
    </row>
    <row r="169" spans="1:10" x14ac:dyDescent="0.45">
      <c r="A169">
        <v>168</v>
      </c>
      <c r="B169" t="s">
        <v>22</v>
      </c>
      <c r="C169" t="s">
        <v>42</v>
      </c>
      <c r="D169">
        <v>452</v>
      </c>
      <c r="E169">
        <v>59</v>
      </c>
      <c r="F169">
        <v>41</v>
      </c>
      <c r="G169">
        <v>2022</v>
      </c>
      <c r="H169">
        <v>218327</v>
      </c>
      <c r="I169" t="s">
        <v>48</v>
      </c>
      <c r="J169" t="s">
        <v>53</v>
      </c>
    </row>
    <row r="170" spans="1:10" x14ac:dyDescent="0.45">
      <c r="A170">
        <v>169</v>
      </c>
      <c r="B170" t="s">
        <v>16</v>
      </c>
      <c r="C170" t="s">
        <v>36</v>
      </c>
      <c r="D170">
        <v>646</v>
      </c>
      <c r="E170">
        <v>54</v>
      </c>
      <c r="F170">
        <v>46</v>
      </c>
      <c r="G170">
        <v>2023</v>
      </c>
      <c r="H170">
        <v>229304</v>
      </c>
      <c r="I170" t="s">
        <v>48</v>
      </c>
      <c r="J170" t="s">
        <v>57</v>
      </c>
    </row>
    <row r="171" spans="1:10" x14ac:dyDescent="0.45">
      <c r="A171">
        <v>170</v>
      </c>
      <c r="B171" t="s">
        <v>22</v>
      </c>
      <c r="C171" t="s">
        <v>42</v>
      </c>
      <c r="D171">
        <v>4829</v>
      </c>
      <c r="E171">
        <v>74</v>
      </c>
      <c r="F171">
        <v>26</v>
      </c>
      <c r="G171">
        <v>2023</v>
      </c>
      <c r="H171">
        <v>535432</v>
      </c>
      <c r="I171" t="s">
        <v>48</v>
      </c>
      <c r="J171" t="s">
        <v>64</v>
      </c>
    </row>
    <row r="172" spans="1:10" x14ac:dyDescent="0.45">
      <c r="A172">
        <v>171</v>
      </c>
      <c r="B172" t="s">
        <v>16</v>
      </c>
      <c r="C172" t="s">
        <v>36</v>
      </c>
      <c r="D172">
        <v>362</v>
      </c>
      <c r="E172">
        <v>49</v>
      </c>
      <c r="F172">
        <v>51</v>
      </c>
      <c r="G172">
        <v>2021</v>
      </c>
      <c r="H172">
        <v>431841</v>
      </c>
      <c r="I172" t="s">
        <v>49</v>
      </c>
      <c r="J172" t="s">
        <v>59</v>
      </c>
    </row>
    <row r="173" spans="1:10" x14ac:dyDescent="0.45">
      <c r="A173">
        <v>172</v>
      </c>
      <c r="B173" t="s">
        <v>28</v>
      </c>
      <c r="C173" t="s">
        <v>43</v>
      </c>
      <c r="D173">
        <v>627</v>
      </c>
      <c r="E173">
        <v>47</v>
      </c>
      <c r="F173">
        <v>53</v>
      </c>
      <c r="G173">
        <v>2020</v>
      </c>
      <c r="H173">
        <v>504971</v>
      </c>
      <c r="I173" t="s">
        <v>49</v>
      </c>
      <c r="J173" t="s">
        <v>64</v>
      </c>
    </row>
    <row r="174" spans="1:10" x14ac:dyDescent="0.45">
      <c r="A174">
        <v>173</v>
      </c>
      <c r="B174" t="s">
        <v>28</v>
      </c>
      <c r="C174" t="s">
        <v>43</v>
      </c>
      <c r="D174">
        <v>3992</v>
      </c>
      <c r="E174">
        <v>67</v>
      </c>
      <c r="F174">
        <v>33</v>
      </c>
      <c r="G174">
        <v>2023</v>
      </c>
      <c r="H174">
        <v>530137</v>
      </c>
      <c r="I174" t="s">
        <v>48</v>
      </c>
      <c r="J174" t="s">
        <v>64</v>
      </c>
    </row>
    <row r="175" spans="1:10" x14ac:dyDescent="0.45">
      <c r="A175">
        <v>174</v>
      </c>
      <c r="B175" t="s">
        <v>20</v>
      </c>
      <c r="C175" t="s">
        <v>40</v>
      </c>
      <c r="D175">
        <v>2249</v>
      </c>
      <c r="E175">
        <v>56</v>
      </c>
      <c r="F175">
        <v>44</v>
      </c>
      <c r="G175">
        <v>2025</v>
      </c>
      <c r="H175">
        <v>587719</v>
      </c>
      <c r="I175" t="s">
        <v>48</v>
      </c>
      <c r="J175" t="s">
        <v>59</v>
      </c>
    </row>
    <row r="176" spans="1:10" x14ac:dyDescent="0.45">
      <c r="A176">
        <v>175</v>
      </c>
      <c r="B176" t="s">
        <v>21</v>
      </c>
      <c r="C176" t="s">
        <v>41</v>
      </c>
      <c r="D176">
        <v>1039</v>
      </c>
      <c r="E176">
        <v>61</v>
      </c>
      <c r="F176">
        <v>39</v>
      </c>
      <c r="G176">
        <v>2024</v>
      </c>
      <c r="H176">
        <v>342667</v>
      </c>
      <c r="I176" t="s">
        <v>48</v>
      </c>
      <c r="J176" t="s">
        <v>57</v>
      </c>
    </row>
    <row r="177" spans="1:10" x14ac:dyDescent="0.45">
      <c r="A177">
        <v>176</v>
      </c>
      <c r="B177" t="s">
        <v>28</v>
      </c>
      <c r="C177" t="s">
        <v>43</v>
      </c>
      <c r="D177">
        <v>353</v>
      </c>
      <c r="E177">
        <v>44</v>
      </c>
      <c r="F177">
        <v>56</v>
      </c>
      <c r="G177">
        <v>2020</v>
      </c>
      <c r="H177">
        <v>221332</v>
      </c>
      <c r="I177" t="s">
        <v>49</v>
      </c>
      <c r="J177" t="s">
        <v>63</v>
      </c>
    </row>
    <row r="178" spans="1:10" x14ac:dyDescent="0.45">
      <c r="A178">
        <v>177</v>
      </c>
      <c r="B178" t="s">
        <v>12</v>
      </c>
      <c r="C178" t="s">
        <v>32</v>
      </c>
      <c r="D178">
        <v>849</v>
      </c>
      <c r="E178">
        <v>46</v>
      </c>
      <c r="F178">
        <v>54</v>
      </c>
      <c r="G178">
        <v>2023</v>
      </c>
      <c r="H178">
        <v>485986</v>
      </c>
      <c r="I178" t="s">
        <v>49</v>
      </c>
      <c r="J178" t="s">
        <v>56</v>
      </c>
    </row>
    <row r="179" spans="1:10" x14ac:dyDescent="0.45">
      <c r="A179">
        <v>178</v>
      </c>
      <c r="B179" t="s">
        <v>14</v>
      </c>
      <c r="C179" t="s">
        <v>34</v>
      </c>
      <c r="D179">
        <v>307</v>
      </c>
      <c r="E179">
        <v>84</v>
      </c>
      <c r="F179">
        <v>16</v>
      </c>
      <c r="G179">
        <v>2024</v>
      </c>
      <c r="H179">
        <v>273701</v>
      </c>
      <c r="I179" t="s">
        <v>48</v>
      </c>
      <c r="J179" t="s">
        <v>57</v>
      </c>
    </row>
    <row r="180" spans="1:10" x14ac:dyDescent="0.45">
      <c r="A180">
        <v>179</v>
      </c>
      <c r="B180" t="s">
        <v>16</v>
      </c>
      <c r="C180" t="s">
        <v>36</v>
      </c>
      <c r="D180">
        <v>4959</v>
      </c>
      <c r="E180">
        <v>50</v>
      </c>
      <c r="F180">
        <v>50</v>
      </c>
      <c r="G180">
        <v>2022</v>
      </c>
      <c r="H180">
        <v>294513</v>
      </c>
      <c r="I180" t="s">
        <v>49</v>
      </c>
      <c r="J180" t="s">
        <v>53</v>
      </c>
    </row>
    <row r="181" spans="1:10" x14ac:dyDescent="0.45">
      <c r="A181">
        <v>180</v>
      </c>
      <c r="B181" t="s">
        <v>23</v>
      </c>
      <c r="C181" t="s">
        <v>43</v>
      </c>
      <c r="D181">
        <v>1530</v>
      </c>
      <c r="E181">
        <v>49</v>
      </c>
      <c r="F181">
        <v>51</v>
      </c>
      <c r="G181">
        <v>2020</v>
      </c>
      <c r="H181">
        <v>383539</v>
      </c>
      <c r="I181" t="s">
        <v>49</v>
      </c>
      <c r="J181" t="s">
        <v>55</v>
      </c>
    </row>
    <row r="182" spans="1:10" x14ac:dyDescent="0.45">
      <c r="A182">
        <v>181</v>
      </c>
      <c r="B182" t="s">
        <v>13</v>
      </c>
      <c r="C182" t="s">
        <v>33</v>
      </c>
      <c r="D182">
        <v>3084</v>
      </c>
      <c r="E182">
        <v>72</v>
      </c>
      <c r="F182">
        <v>28</v>
      </c>
      <c r="G182">
        <v>2020</v>
      </c>
      <c r="H182">
        <v>444115</v>
      </c>
      <c r="I182" t="s">
        <v>48</v>
      </c>
      <c r="J182" t="s">
        <v>54</v>
      </c>
    </row>
    <row r="183" spans="1:10" x14ac:dyDescent="0.45">
      <c r="A183">
        <v>182</v>
      </c>
      <c r="B183" t="s">
        <v>17</v>
      </c>
      <c r="C183" t="s">
        <v>37</v>
      </c>
      <c r="D183">
        <v>4213</v>
      </c>
      <c r="E183">
        <v>43</v>
      </c>
      <c r="F183">
        <v>57</v>
      </c>
      <c r="G183">
        <v>2020</v>
      </c>
      <c r="H183">
        <v>381679</v>
      </c>
      <c r="I183" t="s">
        <v>49</v>
      </c>
      <c r="J183" t="s">
        <v>61</v>
      </c>
    </row>
    <row r="184" spans="1:10" x14ac:dyDescent="0.45">
      <c r="A184">
        <v>183</v>
      </c>
      <c r="B184" t="s">
        <v>22</v>
      </c>
      <c r="C184" t="s">
        <v>42</v>
      </c>
      <c r="D184">
        <v>783</v>
      </c>
      <c r="E184">
        <v>84</v>
      </c>
      <c r="F184">
        <v>16</v>
      </c>
      <c r="G184">
        <v>2025</v>
      </c>
      <c r="H184">
        <v>446811</v>
      </c>
      <c r="I184" t="s">
        <v>48</v>
      </c>
      <c r="J184" t="s">
        <v>54</v>
      </c>
    </row>
    <row r="185" spans="1:10" x14ac:dyDescent="0.45">
      <c r="A185">
        <v>184</v>
      </c>
      <c r="B185" t="s">
        <v>21</v>
      </c>
      <c r="C185" t="s">
        <v>41</v>
      </c>
      <c r="D185">
        <v>3348</v>
      </c>
      <c r="E185">
        <v>78</v>
      </c>
      <c r="F185">
        <v>22</v>
      </c>
      <c r="G185">
        <v>2023</v>
      </c>
      <c r="H185">
        <v>371965</v>
      </c>
      <c r="I185" t="s">
        <v>48</v>
      </c>
      <c r="J185" t="s">
        <v>53</v>
      </c>
    </row>
    <row r="186" spans="1:10" x14ac:dyDescent="0.45">
      <c r="A186">
        <v>185</v>
      </c>
      <c r="B186" t="s">
        <v>14</v>
      </c>
      <c r="C186" t="s">
        <v>34</v>
      </c>
      <c r="D186">
        <v>484</v>
      </c>
      <c r="E186">
        <v>72</v>
      </c>
      <c r="F186">
        <v>28</v>
      </c>
      <c r="G186">
        <v>2025</v>
      </c>
      <c r="H186">
        <v>239315</v>
      </c>
      <c r="I186" t="s">
        <v>48</v>
      </c>
      <c r="J186" t="s">
        <v>57</v>
      </c>
    </row>
    <row r="187" spans="1:10" x14ac:dyDescent="0.45">
      <c r="A187">
        <v>186</v>
      </c>
      <c r="B187" t="s">
        <v>21</v>
      </c>
      <c r="C187" t="s">
        <v>41</v>
      </c>
      <c r="D187">
        <v>4449</v>
      </c>
      <c r="E187">
        <v>50</v>
      </c>
      <c r="F187">
        <v>50</v>
      </c>
      <c r="G187">
        <v>2021</v>
      </c>
      <c r="H187">
        <v>277870</v>
      </c>
      <c r="I187" t="s">
        <v>49</v>
      </c>
      <c r="J187" t="s">
        <v>63</v>
      </c>
    </row>
    <row r="188" spans="1:10" x14ac:dyDescent="0.45">
      <c r="A188">
        <v>187</v>
      </c>
      <c r="B188" t="s">
        <v>29</v>
      </c>
      <c r="C188" t="s">
        <v>47</v>
      </c>
      <c r="D188">
        <v>1996</v>
      </c>
      <c r="E188">
        <v>49</v>
      </c>
      <c r="F188">
        <v>51</v>
      </c>
      <c r="G188">
        <v>2025</v>
      </c>
      <c r="H188">
        <v>531923</v>
      </c>
      <c r="I188" t="s">
        <v>49</v>
      </c>
      <c r="J188" t="s">
        <v>53</v>
      </c>
    </row>
    <row r="189" spans="1:10" x14ac:dyDescent="0.45">
      <c r="A189">
        <v>188</v>
      </c>
      <c r="B189" t="s">
        <v>29</v>
      </c>
      <c r="C189" t="s">
        <v>47</v>
      </c>
      <c r="D189">
        <v>4771</v>
      </c>
      <c r="E189">
        <v>58</v>
      </c>
      <c r="F189">
        <v>42</v>
      </c>
      <c r="G189">
        <v>2024</v>
      </c>
      <c r="H189">
        <v>577671</v>
      </c>
      <c r="I189" t="s">
        <v>48</v>
      </c>
      <c r="J189" t="s">
        <v>58</v>
      </c>
    </row>
    <row r="190" spans="1:10" x14ac:dyDescent="0.45">
      <c r="A190">
        <v>189</v>
      </c>
      <c r="B190" t="s">
        <v>28</v>
      </c>
      <c r="C190" t="s">
        <v>43</v>
      </c>
      <c r="D190">
        <v>4021</v>
      </c>
      <c r="E190">
        <v>77</v>
      </c>
      <c r="F190">
        <v>23</v>
      </c>
      <c r="G190">
        <v>2020</v>
      </c>
      <c r="H190">
        <v>298951</v>
      </c>
      <c r="I190" t="s">
        <v>48</v>
      </c>
      <c r="J190" t="s">
        <v>56</v>
      </c>
    </row>
    <row r="191" spans="1:10" x14ac:dyDescent="0.45">
      <c r="A191">
        <v>190</v>
      </c>
      <c r="B191" t="s">
        <v>20</v>
      </c>
      <c r="C191" t="s">
        <v>40</v>
      </c>
      <c r="D191">
        <v>4980</v>
      </c>
      <c r="E191">
        <v>58</v>
      </c>
      <c r="F191">
        <v>42</v>
      </c>
      <c r="G191">
        <v>2021</v>
      </c>
      <c r="H191">
        <v>585225</v>
      </c>
      <c r="I191" t="s">
        <v>48</v>
      </c>
      <c r="J191" t="s">
        <v>60</v>
      </c>
    </row>
    <row r="192" spans="1:10" x14ac:dyDescent="0.45">
      <c r="A192">
        <v>191</v>
      </c>
      <c r="B192" t="s">
        <v>12</v>
      </c>
      <c r="C192" t="s">
        <v>32</v>
      </c>
      <c r="D192">
        <v>3161</v>
      </c>
      <c r="E192">
        <v>47</v>
      </c>
      <c r="F192">
        <v>53</v>
      </c>
      <c r="G192">
        <v>2025</v>
      </c>
      <c r="H192">
        <v>377155</v>
      </c>
      <c r="I192" t="s">
        <v>49</v>
      </c>
      <c r="J192" t="s">
        <v>55</v>
      </c>
    </row>
    <row r="193" spans="1:10" x14ac:dyDescent="0.45">
      <c r="A193">
        <v>192</v>
      </c>
      <c r="B193" t="s">
        <v>17</v>
      </c>
      <c r="C193" t="s">
        <v>37</v>
      </c>
      <c r="D193">
        <v>1078</v>
      </c>
      <c r="E193">
        <v>60</v>
      </c>
      <c r="F193">
        <v>40</v>
      </c>
      <c r="G193">
        <v>2024</v>
      </c>
      <c r="H193">
        <v>556680</v>
      </c>
      <c r="I193" t="s">
        <v>48</v>
      </c>
      <c r="J193" t="s">
        <v>64</v>
      </c>
    </row>
    <row r="194" spans="1:10" x14ac:dyDescent="0.45">
      <c r="A194">
        <v>193</v>
      </c>
      <c r="B194" t="s">
        <v>22</v>
      </c>
      <c r="C194" t="s">
        <v>42</v>
      </c>
      <c r="D194">
        <v>3470</v>
      </c>
      <c r="E194">
        <v>66</v>
      </c>
      <c r="F194">
        <v>34</v>
      </c>
      <c r="G194">
        <v>2020</v>
      </c>
      <c r="H194">
        <v>262027</v>
      </c>
      <c r="I194" t="s">
        <v>48</v>
      </c>
      <c r="J194" t="s">
        <v>58</v>
      </c>
    </row>
    <row r="195" spans="1:10" x14ac:dyDescent="0.45">
      <c r="A195">
        <v>194</v>
      </c>
      <c r="B195" t="s">
        <v>11</v>
      </c>
      <c r="C195" t="s">
        <v>31</v>
      </c>
      <c r="D195">
        <v>1635</v>
      </c>
      <c r="E195">
        <v>49</v>
      </c>
      <c r="F195">
        <v>51</v>
      </c>
      <c r="G195">
        <v>2023</v>
      </c>
      <c r="H195">
        <v>531793</v>
      </c>
      <c r="I195" t="s">
        <v>49</v>
      </c>
      <c r="J195" t="s">
        <v>52</v>
      </c>
    </row>
    <row r="196" spans="1:10" x14ac:dyDescent="0.45">
      <c r="A196">
        <v>195</v>
      </c>
      <c r="B196" t="s">
        <v>13</v>
      </c>
      <c r="C196" t="s">
        <v>33</v>
      </c>
      <c r="D196">
        <v>789</v>
      </c>
      <c r="E196">
        <v>66</v>
      </c>
      <c r="F196">
        <v>34</v>
      </c>
      <c r="G196">
        <v>2021</v>
      </c>
      <c r="H196">
        <v>532347</v>
      </c>
      <c r="I196" t="s">
        <v>48</v>
      </c>
      <c r="J196" t="s">
        <v>58</v>
      </c>
    </row>
    <row r="197" spans="1:10" x14ac:dyDescent="0.45">
      <c r="A197">
        <v>196</v>
      </c>
      <c r="B197" t="s">
        <v>11</v>
      </c>
      <c r="C197" t="s">
        <v>31</v>
      </c>
      <c r="D197">
        <v>1187</v>
      </c>
      <c r="E197">
        <v>46</v>
      </c>
      <c r="F197">
        <v>54</v>
      </c>
      <c r="G197">
        <v>2020</v>
      </c>
      <c r="H197">
        <v>289876</v>
      </c>
      <c r="I197" t="s">
        <v>49</v>
      </c>
      <c r="J197" t="s">
        <v>58</v>
      </c>
    </row>
    <row r="198" spans="1:10" x14ac:dyDescent="0.45">
      <c r="A198">
        <v>197</v>
      </c>
      <c r="B198" t="s">
        <v>11</v>
      </c>
      <c r="C198" t="s">
        <v>31</v>
      </c>
      <c r="D198">
        <v>3497</v>
      </c>
      <c r="E198">
        <v>51</v>
      </c>
      <c r="F198">
        <v>49</v>
      </c>
      <c r="G198">
        <v>2021</v>
      </c>
      <c r="H198">
        <v>587098</v>
      </c>
      <c r="I198" t="s">
        <v>48</v>
      </c>
      <c r="J198" t="s">
        <v>59</v>
      </c>
    </row>
    <row r="199" spans="1:10" x14ac:dyDescent="0.45">
      <c r="A199">
        <v>198</v>
      </c>
      <c r="B199" t="s">
        <v>13</v>
      </c>
      <c r="C199" t="s">
        <v>33</v>
      </c>
      <c r="D199">
        <v>3951</v>
      </c>
      <c r="E199">
        <v>68</v>
      </c>
      <c r="F199">
        <v>32</v>
      </c>
      <c r="G199">
        <v>2022</v>
      </c>
      <c r="H199">
        <v>192002</v>
      </c>
      <c r="I199" t="s">
        <v>48</v>
      </c>
      <c r="J199" t="s">
        <v>57</v>
      </c>
    </row>
    <row r="200" spans="1:10" x14ac:dyDescent="0.45">
      <c r="A200">
        <v>199</v>
      </c>
      <c r="B200" t="s">
        <v>15</v>
      </c>
      <c r="C200" t="s">
        <v>35</v>
      </c>
      <c r="D200">
        <v>3164</v>
      </c>
      <c r="E200">
        <v>62</v>
      </c>
      <c r="F200">
        <v>38</v>
      </c>
      <c r="G200">
        <v>2021</v>
      </c>
      <c r="H200">
        <v>487542</v>
      </c>
      <c r="I200" t="s">
        <v>48</v>
      </c>
      <c r="J200" t="s">
        <v>50</v>
      </c>
    </row>
    <row r="201" spans="1:10" x14ac:dyDescent="0.45">
      <c r="A201">
        <v>200</v>
      </c>
      <c r="B201" t="s">
        <v>14</v>
      </c>
      <c r="C201" t="s">
        <v>34</v>
      </c>
      <c r="D201">
        <v>2942</v>
      </c>
      <c r="E201">
        <v>44</v>
      </c>
      <c r="F201">
        <v>56</v>
      </c>
      <c r="G201">
        <v>2023</v>
      </c>
      <c r="H201">
        <v>528200</v>
      </c>
      <c r="I201" t="s">
        <v>49</v>
      </c>
      <c r="J201" t="s">
        <v>61</v>
      </c>
    </row>
    <row r="202" spans="1:10" x14ac:dyDescent="0.45">
      <c r="A202">
        <v>201</v>
      </c>
      <c r="B202" t="s">
        <v>15</v>
      </c>
      <c r="C202" t="s">
        <v>35</v>
      </c>
      <c r="D202">
        <v>2298</v>
      </c>
      <c r="E202">
        <v>83</v>
      </c>
      <c r="F202">
        <v>17</v>
      </c>
      <c r="G202">
        <v>2021</v>
      </c>
      <c r="H202">
        <v>321395</v>
      </c>
      <c r="I202" t="s">
        <v>48</v>
      </c>
      <c r="J202" t="s">
        <v>59</v>
      </c>
    </row>
    <row r="203" spans="1:10" x14ac:dyDescent="0.45">
      <c r="A203">
        <v>202</v>
      </c>
      <c r="B203" t="s">
        <v>10</v>
      </c>
      <c r="C203" t="s">
        <v>30</v>
      </c>
      <c r="D203">
        <v>579</v>
      </c>
      <c r="E203">
        <v>43</v>
      </c>
      <c r="F203">
        <v>57</v>
      </c>
      <c r="G203">
        <v>2022</v>
      </c>
      <c r="H203">
        <v>560162</v>
      </c>
      <c r="I203" t="s">
        <v>49</v>
      </c>
      <c r="J203" t="s">
        <v>60</v>
      </c>
    </row>
    <row r="204" spans="1:10" x14ac:dyDescent="0.45">
      <c r="A204">
        <v>203</v>
      </c>
      <c r="B204" t="s">
        <v>21</v>
      </c>
      <c r="C204" t="s">
        <v>41</v>
      </c>
      <c r="D204">
        <v>1090</v>
      </c>
      <c r="E204">
        <v>54</v>
      </c>
      <c r="F204">
        <v>46</v>
      </c>
      <c r="G204">
        <v>2022</v>
      </c>
      <c r="H204">
        <v>334475</v>
      </c>
      <c r="I204" t="s">
        <v>48</v>
      </c>
      <c r="J204" t="s">
        <v>61</v>
      </c>
    </row>
    <row r="205" spans="1:10" x14ac:dyDescent="0.45">
      <c r="A205">
        <v>204</v>
      </c>
      <c r="B205" t="s">
        <v>19</v>
      </c>
      <c r="C205" t="s">
        <v>39</v>
      </c>
      <c r="D205">
        <v>2392</v>
      </c>
      <c r="E205">
        <v>66</v>
      </c>
      <c r="F205">
        <v>34</v>
      </c>
      <c r="G205">
        <v>2022</v>
      </c>
      <c r="H205">
        <v>551138</v>
      </c>
      <c r="I205" t="s">
        <v>48</v>
      </c>
      <c r="J205" t="s">
        <v>59</v>
      </c>
    </row>
    <row r="206" spans="1:10" x14ac:dyDescent="0.45">
      <c r="A206">
        <v>205</v>
      </c>
      <c r="B206" t="s">
        <v>23</v>
      </c>
      <c r="C206" t="s">
        <v>43</v>
      </c>
      <c r="D206">
        <v>4338</v>
      </c>
      <c r="E206">
        <v>70</v>
      </c>
      <c r="F206">
        <v>30</v>
      </c>
      <c r="G206">
        <v>2022</v>
      </c>
      <c r="H206">
        <v>302955</v>
      </c>
      <c r="I206" t="s">
        <v>48</v>
      </c>
      <c r="J206" t="s">
        <v>59</v>
      </c>
    </row>
    <row r="207" spans="1:10" x14ac:dyDescent="0.45">
      <c r="A207">
        <v>206</v>
      </c>
      <c r="B207" t="s">
        <v>18</v>
      </c>
      <c r="C207" t="s">
        <v>38</v>
      </c>
      <c r="D207">
        <v>1241</v>
      </c>
      <c r="E207">
        <v>60</v>
      </c>
      <c r="F207">
        <v>40</v>
      </c>
      <c r="G207">
        <v>2024</v>
      </c>
      <c r="H207">
        <v>356354</v>
      </c>
      <c r="I207" t="s">
        <v>48</v>
      </c>
      <c r="J207" t="s">
        <v>63</v>
      </c>
    </row>
    <row r="208" spans="1:10" x14ac:dyDescent="0.45">
      <c r="A208">
        <v>207</v>
      </c>
      <c r="B208" t="s">
        <v>28</v>
      </c>
      <c r="C208" t="s">
        <v>43</v>
      </c>
      <c r="D208">
        <v>3590</v>
      </c>
      <c r="E208">
        <v>70</v>
      </c>
      <c r="F208">
        <v>30</v>
      </c>
      <c r="G208">
        <v>2023</v>
      </c>
      <c r="H208">
        <v>490429</v>
      </c>
      <c r="I208" t="s">
        <v>48</v>
      </c>
      <c r="J208" t="s">
        <v>57</v>
      </c>
    </row>
    <row r="209" spans="1:10" x14ac:dyDescent="0.45">
      <c r="A209">
        <v>208</v>
      </c>
      <c r="B209" t="s">
        <v>23</v>
      </c>
      <c r="C209" t="s">
        <v>43</v>
      </c>
      <c r="D209">
        <v>3928</v>
      </c>
      <c r="E209">
        <v>67</v>
      </c>
      <c r="F209">
        <v>33</v>
      </c>
      <c r="G209">
        <v>2022</v>
      </c>
      <c r="H209">
        <v>404285</v>
      </c>
      <c r="I209" t="s">
        <v>48</v>
      </c>
      <c r="J209" t="s">
        <v>64</v>
      </c>
    </row>
    <row r="210" spans="1:10" x14ac:dyDescent="0.45">
      <c r="A210">
        <v>209</v>
      </c>
      <c r="B210" t="s">
        <v>26</v>
      </c>
      <c r="C210" t="s">
        <v>46</v>
      </c>
      <c r="D210">
        <v>1117</v>
      </c>
      <c r="E210">
        <v>57</v>
      </c>
      <c r="F210">
        <v>43</v>
      </c>
      <c r="G210">
        <v>2023</v>
      </c>
      <c r="H210">
        <v>407985</v>
      </c>
      <c r="I210" t="s">
        <v>48</v>
      </c>
      <c r="J210" t="s">
        <v>60</v>
      </c>
    </row>
    <row r="211" spans="1:10" x14ac:dyDescent="0.45">
      <c r="A211">
        <v>210</v>
      </c>
      <c r="B211" t="s">
        <v>25</v>
      </c>
      <c r="C211" t="s">
        <v>45</v>
      </c>
      <c r="D211">
        <v>4701</v>
      </c>
      <c r="E211">
        <v>66</v>
      </c>
      <c r="F211">
        <v>34</v>
      </c>
      <c r="G211">
        <v>2020</v>
      </c>
      <c r="H211">
        <v>181750</v>
      </c>
      <c r="I211" t="s">
        <v>48</v>
      </c>
      <c r="J211" t="s">
        <v>51</v>
      </c>
    </row>
    <row r="212" spans="1:10" x14ac:dyDescent="0.45">
      <c r="A212">
        <v>211</v>
      </c>
      <c r="B212" t="s">
        <v>27</v>
      </c>
      <c r="C212" t="s">
        <v>36</v>
      </c>
      <c r="D212">
        <v>4761</v>
      </c>
      <c r="E212">
        <v>48</v>
      </c>
      <c r="F212">
        <v>52</v>
      </c>
      <c r="G212">
        <v>2025</v>
      </c>
      <c r="H212">
        <v>496064</v>
      </c>
      <c r="I212" t="s">
        <v>49</v>
      </c>
      <c r="J212" t="s">
        <v>63</v>
      </c>
    </row>
    <row r="213" spans="1:10" x14ac:dyDescent="0.45">
      <c r="A213">
        <v>212</v>
      </c>
      <c r="B213" t="s">
        <v>25</v>
      </c>
      <c r="C213" t="s">
        <v>45</v>
      </c>
      <c r="D213">
        <v>357</v>
      </c>
      <c r="E213">
        <v>52</v>
      </c>
      <c r="F213">
        <v>48</v>
      </c>
      <c r="G213">
        <v>2022</v>
      </c>
      <c r="H213">
        <v>359958</v>
      </c>
      <c r="I213" t="s">
        <v>48</v>
      </c>
      <c r="J213" t="s">
        <v>50</v>
      </c>
    </row>
    <row r="214" spans="1:10" x14ac:dyDescent="0.45">
      <c r="A214">
        <v>213</v>
      </c>
      <c r="B214" t="s">
        <v>25</v>
      </c>
      <c r="C214" t="s">
        <v>45</v>
      </c>
      <c r="D214">
        <v>1921</v>
      </c>
      <c r="E214">
        <v>73</v>
      </c>
      <c r="F214">
        <v>27</v>
      </c>
      <c r="G214">
        <v>2025</v>
      </c>
      <c r="H214">
        <v>524759</v>
      </c>
      <c r="I214" t="s">
        <v>48</v>
      </c>
      <c r="J214" t="s">
        <v>60</v>
      </c>
    </row>
    <row r="215" spans="1:10" x14ac:dyDescent="0.45">
      <c r="A215">
        <v>214</v>
      </c>
      <c r="B215" t="s">
        <v>16</v>
      </c>
      <c r="C215" t="s">
        <v>36</v>
      </c>
      <c r="D215">
        <v>2740</v>
      </c>
      <c r="E215">
        <v>79</v>
      </c>
      <c r="F215">
        <v>21</v>
      </c>
      <c r="G215">
        <v>2021</v>
      </c>
      <c r="H215">
        <v>357133</v>
      </c>
      <c r="I215" t="s">
        <v>48</v>
      </c>
      <c r="J215" t="s">
        <v>61</v>
      </c>
    </row>
    <row r="216" spans="1:10" x14ac:dyDescent="0.45">
      <c r="A216">
        <v>215</v>
      </c>
      <c r="B216" t="s">
        <v>26</v>
      </c>
      <c r="C216" t="s">
        <v>46</v>
      </c>
      <c r="D216">
        <v>2312</v>
      </c>
      <c r="E216">
        <v>60</v>
      </c>
      <c r="F216">
        <v>40</v>
      </c>
      <c r="G216">
        <v>2025</v>
      </c>
      <c r="H216">
        <v>475265</v>
      </c>
      <c r="I216" t="s">
        <v>48</v>
      </c>
      <c r="J216" t="s">
        <v>55</v>
      </c>
    </row>
    <row r="217" spans="1:10" x14ac:dyDescent="0.45">
      <c r="A217">
        <v>216</v>
      </c>
      <c r="B217" t="s">
        <v>17</v>
      </c>
      <c r="C217" t="s">
        <v>37</v>
      </c>
      <c r="D217">
        <v>2345</v>
      </c>
      <c r="E217">
        <v>78</v>
      </c>
      <c r="F217">
        <v>22</v>
      </c>
      <c r="G217">
        <v>2023</v>
      </c>
      <c r="H217">
        <v>487221</v>
      </c>
      <c r="I217" t="s">
        <v>48</v>
      </c>
      <c r="J217" t="s">
        <v>53</v>
      </c>
    </row>
    <row r="218" spans="1:10" x14ac:dyDescent="0.45">
      <c r="A218">
        <v>217</v>
      </c>
      <c r="B218" t="s">
        <v>10</v>
      </c>
      <c r="C218" t="s">
        <v>30</v>
      </c>
      <c r="D218">
        <v>1217</v>
      </c>
      <c r="E218">
        <v>83</v>
      </c>
      <c r="F218">
        <v>17</v>
      </c>
      <c r="G218">
        <v>2025</v>
      </c>
      <c r="H218">
        <v>537123</v>
      </c>
      <c r="I218" t="s">
        <v>48</v>
      </c>
      <c r="J218" t="s">
        <v>60</v>
      </c>
    </row>
    <row r="219" spans="1:10" x14ac:dyDescent="0.45">
      <c r="A219">
        <v>218</v>
      </c>
      <c r="B219" t="s">
        <v>19</v>
      </c>
      <c r="C219" t="s">
        <v>39</v>
      </c>
      <c r="D219">
        <v>683</v>
      </c>
      <c r="E219">
        <v>41</v>
      </c>
      <c r="F219">
        <v>59</v>
      </c>
      <c r="G219">
        <v>2023</v>
      </c>
      <c r="H219">
        <v>569712</v>
      </c>
      <c r="I219" t="s">
        <v>49</v>
      </c>
      <c r="J219" t="s">
        <v>51</v>
      </c>
    </row>
    <row r="220" spans="1:10" x14ac:dyDescent="0.45">
      <c r="A220">
        <v>219</v>
      </c>
      <c r="B220" t="s">
        <v>13</v>
      </c>
      <c r="C220" t="s">
        <v>33</v>
      </c>
      <c r="D220">
        <v>3044</v>
      </c>
      <c r="E220">
        <v>80</v>
      </c>
      <c r="F220">
        <v>20</v>
      </c>
      <c r="G220">
        <v>2022</v>
      </c>
      <c r="H220">
        <v>234492</v>
      </c>
      <c r="I220" t="s">
        <v>48</v>
      </c>
      <c r="J220" t="s">
        <v>59</v>
      </c>
    </row>
    <row r="221" spans="1:10" x14ac:dyDescent="0.45">
      <c r="A221">
        <v>220</v>
      </c>
      <c r="B221" t="s">
        <v>23</v>
      </c>
      <c r="C221" t="s">
        <v>43</v>
      </c>
      <c r="D221">
        <v>2427</v>
      </c>
      <c r="E221">
        <v>54</v>
      </c>
      <c r="F221">
        <v>46</v>
      </c>
      <c r="G221">
        <v>2024</v>
      </c>
      <c r="H221">
        <v>276418</v>
      </c>
      <c r="I221" t="s">
        <v>48</v>
      </c>
      <c r="J221" t="s">
        <v>60</v>
      </c>
    </row>
    <row r="222" spans="1:10" x14ac:dyDescent="0.45">
      <c r="A222">
        <v>221</v>
      </c>
      <c r="B222" t="s">
        <v>12</v>
      </c>
      <c r="C222" t="s">
        <v>32</v>
      </c>
      <c r="D222">
        <v>2139</v>
      </c>
      <c r="E222">
        <v>44</v>
      </c>
      <c r="F222">
        <v>56</v>
      </c>
      <c r="G222">
        <v>2020</v>
      </c>
      <c r="H222">
        <v>303007</v>
      </c>
      <c r="I222" t="s">
        <v>49</v>
      </c>
      <c r="J222" t="s">
        <v>62</v>
      </c>
    </row>
    <row r="223" spans="1:10" x14ac:dyDescent="0.45">
      <c r="A223">
        <v>222</v>
      </c>
      <c r="B223" t="s">
        <v>10</v>
      </c>
      <c r="C223" t="s">
        <v>30</v>
      </c>
      <c r="D223">
        <v>1455</v>
      </c>
      <c r="E223">
        <v>50</v>
      </c>
      <c r="F223">
        <v>50</v>
      </c>
      <c r="G223">
        <v>2025</v>
      </c>
      <c r="H223">
        <v>511958</v>
      </c>
      <c r="I223" t="s">
        <v>49</v>
      </c>
      <c r="J223" t="s">
        <v>50</v>
      </c>
    </row>
    <row r="224" spans="1:10" x14ac:dyDescent="0.45">
      <c r="A224">
        <v>223</v>
      </c>
      <c r="B224" t="s">
        <v>24</v>
      </c>
      <c r="C224" t="s">
        <v>44</v>
      </c>
      <c r="D224">
        <v>3443</v>
      </c>
      <c r="E224">
        <v>58</v>
      </c>
      <c r="F224">
        <v>42</v>
      </c>
      <c r="G224">
        <v>2020</v>
      </c>
      <c r="H224">
        <v>356951</v>
      </c>
      <c r="I224" t="s">
        <v>48</v>
      </c>
      <c r="J224" t="s">
        <v>52</v>
      </c>
    </row>
    <row r="225" spans="1:10" x14ac:dyDescent="0.45">
      <c r="A225">
        <v>224</v>
      </c>
      <c r="B225" t="s">
        <v>23</v>
      </c>
      <c r="C225" t="s">
        <v>43</v>
      </c>
      <c r="D225">
        <v>4636</v>
      </c>
      <c r="E225">
        <v>45</v>
      </c>
      <c r="F225">
        <v>55</v>
      </c>
      <c r="G225">
        <v>2024</v>
      </c>
      <c r="H225">
        <v>375546</v>
      </c>
      <c r="I225" t="s">
        <v>49</v>
      </c>
      <c r="J225" t="s">
        <v>62</v>
      </c>
    </row>
    <row r="226" spans="1:10" x14ac:dyDescent="0.45">
      <c r="A226">
        <v>225</v>
      </c>
      <c r="B226" t="s">
        <v>11</v>
      </c>
      <c r="C226" t="s">
        <v>31</v>
      </c>
      <c r="D226">
        <v>2101</v>
      </c>
      <c r="E226">
        <v>73</v>
      </c>
      <c r="F226">
        <v>27</v>
      </c>
      <c r="G226">
        <v>2020</v>
      </c>
      <c r="H226">
        <v>559644</v>
      </c>
      <c r="I226" t="s">
        <v>48</v>
      </c>
      <c r="J226" t="s">
        <v>54</v>
      </c>
    </row>
    <row r="227" spans="1:10" x14ac:dyDescent="0.45">
      <c r="A227">
        <v>226</v>
      </c>
      <c r="B227" t="s">
        <v>13</v>
      </c>
      <c r="C227" t="s">
        <v>33</v>
      </c>
      <c r="D227">
        <v>448</v>
      </c>
      <c r="E227">
        <v>84</v>
      </c>
      <c r="F227">
        <v>16</v>
      </c>
      <c r="G227">
        <v>2020</v>
      </c>
      <c r="H227">
        <v>554878</v>
      </c>
      <c r="I227" t="s">
        <v>48</v>
      </c>
      <c r="J227" t="s">
        <v>53</v>
      </c>
    </row>
    <row r="228" spans="1:10" x14ac:dyDescent="0.45">
      <c r="A228">
        <v>227</v>
      </c>
      <c r="B228" t="s">
        <v>25</v>
      </c>
      <c r="C228" t="s">
        <v>45</v>
      </c>
      <c r="D228">
        <v>3591</v>
      </c>
      <c r="E228">
        <v>50</v>
      </c>
      <c r="F228">
        <v>50</v>
      </c>
      <c r="G228">
        <v>2020</v>
      </c>
      <c r="H228">
        <v>541684</v>
      </c>
      <c r="I228" t="s">
        <v>49</v>
      </c>
      <c r="J228" t="s">
        <v>51</v>
      </c>
    </row>
    <row r="229" spans="1:10" x14ac:dyDescent="0.45">
      <c r="A229">
        <v>228</v>
      </c>
      <c r="B229" t="s">
        <v>18</v>
      </c>
      <c r="C229" t="s">
        <v>38</v>
      </c>
      <c r="D229">
        <v>932</v>
      </c>
      <c r="E229">
        <v>61</v>
      </c>
      <c r="F229">
        <v>39</v>
      </c>
      <c r="G229">
        <v>2024</v>
      </c>
      <c r="H229">
        <v>257929</v>
      </c>
      <c r="I229" t="s">
        <v>48</v>
      </c>
      <c r="J229" t="s">
        <v>60</v>
      </c>
    </row>
    <row r="230" spans="1:10" x14ac:dyDescent="0.45">
      <c r="A230">
        <v>229</v>
      </c>
      <c r="B230" t="s">
        <v>26</v>
      </c>
      <c r="C230" t="s">
        <v>46</v>
      </c>
      <c r="D230">
        <v>1093</v>
      </c>
      <c r="E230">
        <v>79</v>
      </c>
      <c r="F230">
        <v>21</v>
      </c>
      <c r="G230">
        <v>2020</v>
      </c>
      <c r="H230">
        <v>469209</v>
      </c>
      <c r="I230" t="s">
        <v>48</v>
      </c>
      <c r="J230" t="s">
        <v>56</v>
      </c>
    </row>
    <row r="231" spans="1:10" x14ac:dyDescent="0.45">
      <c r="A231">
        <v>230</v>
      </c>
      <c r="B231" t="s">
        <v>17</v>
      </c>
      <c r="C231" t="s">
        <v>37</v>
      </c>
      <c r="D231">
        <v>2937</v>
      </c>
      <c r="E231">
        <v>61</v>
      </c>
      <c r="F231">
        <v>39</v>
      </c>
      <c r="G231">
        <v>2024</v>
      </c>
      <c r="H231">
        <v>430248</v>
      </c>
      <c r="I231" t="s">
        <v>48</v>
      </c>
      <c r="J231" t="s">
        <v>52</v>
      </c>
    </row>
    <row r="232" spans="1:10" x14ac:dyDescent="0.45">
      <c r="A232">
        <v>231</v>
      </c>
      <c r="B232" t="s">
        <v>13</v>
      </c>
      <c r="C232" t="s">
        <v>33</v>
      </c>
      <c r="D232">
        <v>4570</v>
      </c>
      <c r="E232">
        <v>70</v>
      </c>
      <c r="F232">
        <v>30</v>
      </c>
      <c r="G232">
        <v>2024</v>
      </c>
      <c r="H232">
        <v>443823</v>
      </c>
      <c r="I232" t="s">
        <v>48</v>
      </c>
      <c r="J232" t="s">
        <v>55</v>
      </c>
    </row>
    <row r="233" spans="1:10" x14ac:dyDescent="0.45">
      <c r="A233">
        <v>232</v>
      </c>
      <c r="B233" t="s">
        <v>11</v>
      </c>
      <c r="C233" t="s">
        <v>31</v>
      </c>
      <c r="D233">
        <v>4464</v>
      </c>
      <c r="E233">
        <v>56</v>
      </c>
      <c r="F233">
        <v>44</v>
      </c>
      <c r="G233">
        <v>2021</v>
      </c>
      <c r="H233">
        <v>215867</v>
      </c>
      <c r="I233" t="s">
        <v>48</v>
      </c>
      <c r="J233" t="s">
        <v>58</v>
      </c>
    </row>
    <row r="234" spans="1:10" x14ac:dyDescent="0.45">
      <c r="A234">
        <v>233</v>
      </c>
      <c r="B234" t="s">
        <v>27</v>
      </c>
      <c r="C234" t="s">
        <v>36</v>
      </c>
      <c r="D234">
        <v>4100</v>
      </c>
      <c r="E234">
        <v>48</v>
      </c>
      <c r="F234">
        <v>52</v>
      </c>
      <c r="G234">
        <v>2022</v>
      </c>
      <c r="H234">
        <v>438928</v>
      </c>
      <c r="I234" t="s">
        <v>49</v>
      </c>
      <c r="J234" t="s">
        <v>50</v>
      </c>
    </row>
    <row r="235" spans="1:10" x14ac:dyDescent="0.45">
      <c r="A235">
        <v>234</v>
      </c>
      <c r="B235" t="s">
        <v>18</v>
      </c>
      <c r="C235" t="s">
        <v>38</v>
      </c>
      <c r="D235">
        <v>1923</v>
      </c>
      <c r="E235">
        <v>69</v>
      </c>
      <c r="F235">
        <v>31</v>
      </c>
      <c r="G235">
        <v>2024</v>
      </c>
      <c r="H235">
        <v>597955</v>
      </c>
      <c r="I235" t="s">
        <v>48</v>
      </c>
      <c r="J235" t="s">
        <v>56</v>
      </c>
    </row>
    <row r="236" spans="1:10" x14ac:dyDescent="0.45">
      <c r="A236">
        <v>235</v>
      </c>
      <c r="B236" t="s">
        <v>25</v>
      </c>
      <c r="C236" t="s">
        <v>45</v>
      </c>
      <c r="D236">
        <v>820</v>
      </c>
      <c r="E236">
        <v>45</v>
      </c>
      <c r="F236">
        <v>55</v>
      </c>
      <c r="G236">
        <v>2024</v>
      </c>
      <c r="H236">
        <v>368580</v>
      </c>
      <c r="I236" t="s">
        <v>49</v>
      </c>
      <c r="J236" t="s">
        <v>58</v>
      </c>
    </row>
    <row r="237" spans="1:10" x14ac:dyDescent="0.45">
      <c r="A237">
        <v>236</v>
      </c>
      <c r="B237" t="s">
        <v>13</v>
      </c>
      <c r="C237" t="s">
        <v>33</v>
      </c>
      <c r="D237">
        <v>2075</v>
      </c>
      <c r="E237">
        <v>40</v>
      </c>
      <c r="F237">
        <v>60</v>
      </c>
      <c r="G237">
        <v>2023</v>
      </c>
      <c r="H237">
        <v>263410</v>
      </c>
      <c r="I237" t="s">
        <v>49</v>
      </c>
      <c r="J237" t="s">
        <v>58</v>
      </c>
    </row>
    <row r="238" spans="1:10" x14ac:dyDescent="0.45">
      <c r="A238">
        <v>237</v>
      </c>
      <c r="B238" t="s">
        <v>16</v>
      </c>
      <c r="C238" t="s">
        <v>36</v>
      </c>
      <c r="D238">
        <v>3577</v>
      </c>
      <c r="E238">
        <v>62</v>
      </c>
      <c r="F238">
        <v>38</v>
      </c>
      <c r="G238">
        <v>2023</v>
      </c>
      <c r="H238">
        <v>319958</v>
      </c>
      <c r="I238" t="s">
        <v>48</v>
      </c>
      <c r="J238" t="s">
        <v>57</v>
      </c>
    </row>
    <row r="239" spans="1:10" x14ac:dyDescent="0.45">
      <c r="A239">
        <v>238</v>
      </c>
      <c r="B239" t="s">
        <v>21</v>
      </c>
      <c r="C239" t="s">
        <v>41</v>
      </c>
      <c r="D239">
        <v>389</v>
      </c>
      <c r="E239">
        <v>81</v>
      </c>
      <c r="F239">
        <v>19</v>
      </c>
      <c r="G239">
        <v>2021</v>
      </c>
      <c r="H239">
        <v>344105</v>
      </c>
      <c r="I239" t="s">
        <v>48</v>
      </c>
      <c r="J239" t="s">
        <v>64</v>
      </c>
    </row>
    <row r="240" spans="1:10" x14ac:dyDescent="0.45">
      <c r="A240">
        <v>239</v>
      </c>
      <c r="B240" t="s">
        <v>20</v>
      </c>
      <c r="C240" t="s">
        <v>40</v>
      </c>
      <c r="D240">
        <v>2455</v>
      </c>
      <c r="E240">
        <v>41</v>
      </c>
      <c r="F240">
        <v>59</v>
      </c>
      <c r="G240">
        <v>2024</v>
      </c>
      <c r="H240">
        <v>465323</v>
      </c>
      <c r="I240" t="s">
        <v>49</v>
      </c>
      <c r="J240" t="s">
        <v>56</v>
      </c>
    </row>
    <row r="241" spans="1:10" x14ac:dyDescent="0.45">
      <c r="A241">
        <v>240</v>
      </c>
      <c r="B241" t="s">
        <v>21</v>
      </c>
      <c r="C241" t="s">
        <v>41</v>
      </c>
      <c r="D241">
        <v>560</v>
      </c>
      <c r="E241">
        <v>82</v>
      </c>
      <c r="F241">
        <v>18</v>
      </c>
      <c r="G241">
        <v>2023</v>
      </c>
      <c r="H241">
        <v>373603</v>
      </c>
      <c r="I241" t="s">
        <v>48</v>
      </c>
      <c r="J241" t="s">
        <v>55</v>
      </c>
    </row>
    <row r="242" spans="1:10" x14ac:dyDescent="0.45">
      <c r="A242">
        <v>241</v>
      </c>
      <c r="B242" t="s">
        <v>12</v>
      </c>
      <c r="C242" t="s">
        <v>32</v>
      </c>
      <c r="D242">
        <v>2124</v>
      </c>
      <c r="E242">
        <v>75</v>
      </c>
      <c r="F242">
        <v>25</v>
      </c>
      <c r="G242">
        <v>2023</v>
      </c>
      <c r="H242">
        <v>329087</v>
      </c>
      <c r="I242" t="s">
        <v>48</v>
      </c>
      <c r="J242" t="s">
        <v>61</v>
      </c>
    </row>
    <row r="243" spans="1:10" x14ac:dyDescent="0.45">
      <c r="A243">
        <v>242</v>
      </c>
      <c r="B243" t="s">
        <v>17</v>
      </c>
      <c r="C243" t="s">
        <v>37</v>
      </c>
      <c r="D243">
        <v>2075</v>
      </c>
      <c r="E243">
        <v>53</v>
      </c>
      <c r="F243">
        <v>47</v>
      </c>
      <c r="G243">
        <v>2021</v>
      </c>
      <c r="H243">
        <v>352138</v>
      </c>
      <c r="I243" t="s">
        <v>48</v>
      </c>
      <c r="J243" t="s">
        <v>51</v>
      </c>
    </row>
    <row r="244" spans="1:10" x14ac:dyDescent="0.45">
      <c r="A244">
        <v>243</v>
      </c>
      <c r="B244" t="s">
        <v>11</v>
      </c>
      <c r="C244" t="s">
        <v>31</v>
      </c>
      <c r="D244">
        <v>1659</v>
      </c>
      <c r="E244">
        <v>62</v>
      </c>
      <c r="F244">
        <v>38</v>
      </c>
      <c r="G244">
        <v>2025</v>
      </c>
      <c r="H244">
        <v>326665</v>
      </c>
      <c r="I244" t="s">
        <v>48</v>
      </c>
      <c r="J244" t="s">
        <v>60</v>
      </c>
    </row>
    <row r="245" spans="1:10" x14ac:dyDescent="0.45">
      <c r="A245">
        <v>244</v>
      </c>
      <c r="B245" t="s">
        <v>13</v>
      </c>
      <c r="C245" t="s">
        <v>33</v>
      </c>
      <c r="D245">
        <v>4675</v>
      </c>
      <c r="E245">
        <v>70</v>
      </c>
      <c r="F245">
        <v>30</v>
      </c>
      <c r="G245">
        <v>2023</v>
      </c>
      <c r="H245">
        <v>387272</v>
      </c>
      <c r="I245" t="s">
        <v>48</v>
      </c>
      <c r="J245" t="s">
        <v>59</v>
      </c>
    </row>
    <row r="246" spans="1:10" x14ac:dyDescent="0.45">
      <c r="A246">
        <v>245</v>
      </c>
      <c r="B246" t="s">
        <v>29</v>
      </c>
      <c r="C246" t="s">
        <v>47</v>
      </c>
      <c r="D246">
        <v>1811</v>
      </c>
      <c r="E246">
        <v>51</v>
      </c>
      <c r="F246">
        <v>49</v>
      </c>
      <c r="G246">
        <v>2025</v>
      </c>
      <c r="H246">
        <v>290199</v>
      </c>
      <c r="I246" t="s">
        <v>48</v>
      </c>
      <c r="J246" t="s">
        <v>58</v>
      </c>
    </row>
    <row r="247" spans="1:10" x14ac:dyDescent="0.45">
      <c r="A247">
        <v>246</v>
      </c>
      <c r="B247" t="s">
        <v>10</v>
      </c>
      <c r="C247" t="s">
        <v>30</v>
      </c>
      <c r="D247">
        <v>990</v>
      </c>
      <c r="E247">
        <v>75</v>
      </c>
      <c r="F247">
        <v>25</v>
      </c>
      <c r="G247">
        <v>2025</v>
      </c>
      <c r="H247">
        <v>383363</v>
      </c>
      <c r="I247" t="s">
        <v>48</v>
      </c>
      <c r="J247" t="s">
        <v>53</v>
      </c>
    </row>
    <row r="248" spans="1:10" x14ac:dyDescent="0.45">
      <c r="A248">
        <v>247</v>
      </c>
      <c r="B248" t="s">
        <v>12</v>
      </c>
      <c r="C248" t="s">
        <v>32</v>
      </c>
      <c r="D248">
        <v>2803</v>
      </c>
      <c r="E248">
        <v>78</v>
      </c>
      <c r="F248">
        <v>22</v>
      </c>
      <c r="G248">
        <v>2025</v>
      </c>
      <c r="H248">
        <v>212383</v>
      </c>
      <c r="I248" t="s">
        <v>48</v>
      </c>
      <c r="J248" t="s">
        <v>59</v>
      </c>
    </row>
    <row r="249" spans="1:10" x14ac:dyDescent="0.45">
      <c r="A249">
        <v>248</v>
      </c>
      <c r="B249" t="s">
        <v>19</v>
      </c>
      <c r="C249" t="s">
        <v>39</v>
      </c>
      <c r="D249">
        <v>4827</v>
      </c>
      <c r="E249">
        <v>66</v>
      </c>
      <c r="F249">
        <v>34</v>
      </c>
      <c r="G249">
        <v>2020</v>
      </c>
      <c r="H249">
        <v>321181</v>
      </c>
      <c r="I249" t="s">
        <v>48</v>
      </c>
      <c r="J249" t="s">
        <v>60</v>
      </c>
    </row>
    <row r="250" spans="1:10" x14ac:dyDescent="0.45">
      <c r="A250">
        <v>249</v>
      </c>
      <c r="B250" t="s">
        <v>21</v>
      </c>
      <c r="C250" t="s">
        <v>41</v>
      </c>
      <c r="D250">
        <v>4291</v>
      </c>
      <c r="E250">
        <v>54</v>
      </c>
      <c r="F250">
        <v>46</v>
      </c>
      <c r="G250">
        <v>2025</v>
      </c>
      <c r="H250">
        <v>554002</v>
      </c>
      <c r="I250" t="s">
        <v>48</v>
      </c>
      <c r="J250" t="s">
        <v>52</v>
      </c>
    </row>
    <row r="251" spans="1:10" x14ac:dyDescent="0.45">
      <c r="A251">
        <v>250</v>
      </c>
      <c r="B251" t="s">
        <v>11</v>
      </c>
      <c r="C251" t="s">
        <v>31</v>
      </c>
      <c r="D251">
        <v>4864</v>
      </c>
      <c r="E251">
        <v>63</v>
      </c>
      <c r="F251">
        <v>37</v>
      </c>
      <c r="G251">
        <v>2024</v>
      </c>
      <c r="H251">
        <v>423400</v>
      </c>
      <c r="I251" t="s">
        <v>48</v>
      </c>
      <c r="J251" t="s">
        <v>62</v>
      </c>
    </row>
    <row r="252" spans="1:10" x14ac:dyDescent="0.45">
      <c r="A252">
        <v>251</v>
      </c>
      <c r="B252" t="s">
        <v>24</v>
      </c>
      <c r="C252" t="s">
        <v>44</v>
      </c>
      <c r="D252">
        <v>3796</v>
      </c>
      <c r="E252">
        <v>58</v>
      </c>
      <c r="F252">
        <v>42</v>
      </c>
      <c r="G252">
        <v>2023</v>
      </c>
      <c r="H252">
        <v>364577</v>
      </c>
      <c r="I252" t="s">
        <v>48</v>
      </c>
      <c r="J252" t="s">
        <v>55</v>
      </c>
    </row>
    <row r="253" spans="1:10" x14ac:dyDescent="0.45">
      <c r="A253">
        <v>252</v>
      </c>
      <c r="B253" t="s">
        <v>25</v>
      </c>
      <c r="C253" t="s">
        <v>45</v>
      </c>
      <c r="D253">
        <v>3889</v>
      </c>
      <c r="E253">
        <v>65</v>
      </c>
      <c r="F253">
        <v>35</v>
      </c>
      <c r="G253">
        <v>2020</v>
      </c>
      <c r="H253">
        <v>558254</v>
      </c>
      <c r="I253" t="s">
        <v>48</v>
      </c>
      <c r="J253" t="s">
        <v>57</v>
      </c>
    </row>
    <row r="254" spans="1:10" x14ac:dyDescent="0.45">
      <c r="A254">
        <v>253</v>
      </c>
      <c r="B254" t="s">
        <v>15</v>
      </c>
      <c r="C254" t="s">
        <v>35</v>
      </c>
      <c r="D254">
        <v>452</v>
      </c>
      <c r="E254">
        <v>47</v>
      </c>
      <c r="F254">
        <v>53</v>
      </c>
      <c r="G254">
        <v>2021</v>
      </c>
      <c r="H254">
        <v>189252</v>
      </c>
      <c r="I254" t="s">
        <v>49</v>
      </c>
      <c r="J254" t="s">
        <v>64</v>
      </c>
    </row>
    <row r="255" spans="1:10" x14ac:dyDescent="0.45">
      <c r="A255">
        <v>254</v>
      </c>
      <c r="B255" t="s">
        <v>15</v>
      </c>
      <c r="C255" t="s">
        <v>35</v>
      </c>
      <c r="D255">
        <v>2101</v>
      </c>
      <c r="E255">
        <v>72</v>
      </c>
      <c r="F255">
        <v>28</v>
      </c>
      <c r="G255">
        <v>2025</v>
      </c>
      <c r="H255">
        <v>593641</v>
      </c>
      <c r="I255" t="s">
        <v>48</v>
      </c>
      <c r="J255" t="s">
        <v>64</v>
      </c>
    </row>
    <row r="256" spans="1:10" x14ac:dyDescent="0.45">
      <c r="A256">
        <v>255</v>
      </c>
      <c r="B256" t="s">
        <v>22</v>
      </c>
      <c r="C256" t="s">
        <v>42</v>
      </c>
      <c r="D256">
        <v>4785</v>
      </c>
      <c r="E256">
        <v>41</v>
      </c>
      <c r="F256">
        <v>59</v>
      </c>
      <c r="G256">
        <v>2024</v>
      </c>
      <c r="H256">
        <v>286878</v>
      </c>
      <c r="I256" t="s">
        <v>49</v>
      </c>
      <c r="J256" t="s">
        <v>54</v>
      </c>
    </row>
    <row r="257" spans="1:10" x14ac:dyDescent="0.45">
      <c r="A257">
        <v>256</v>
      </c>
      <c r="B257" t="s">
        <v>24</v>
      </c>
      <c r="C257" t="s">
        <v>44</v>
      </c>
      <c r="D257">
        <v>2154</v>
      </c>
      <c r="E257">
        <v>79</v>
      </c>
      <c r="F257">
        <v>21</v>
      </c>
      <c r="G257">
        <v>2024</v>
      </c>
      <c r="H257">
        <v>452606</v>
      </c>
      <c r="I257" t="s">
        <v>48</v>
      </c>
      <c r="J257" t="s">
        <v>54</v>
      </c>
    </row>
    <row r="258" spans="1:10" x14ac:dyDescent="0.45">
      <c r="A258">
        <v>257</v>
      </c>
      <c r="B258" t="s">
        <v>23</v>
      </c>
      <c r="C258" t="s">
        <v>43</v>
      </c>
      <c r="D258">
        <v>1462</v>
      </c>
      <c r="E258">
        <v>47</v>
      </c>
      <c r="F258">
        <v>53</v>
      </c>
      <c r="G258">
        <v>2023</v>
      </c>
      <c r="H258">
        <v>538985</v>
      </c>
      <c r="I258" t="s">
        <v>49</v>
      </c>
      <c r="J258" t="s">
        <v>52</v>
      </c>
    </row>
    <row r="259" spans="1:10" x14ac:dyDescent="0.45">
      <c r="A259">
        <v>258</v>
      </c>
      <c r="B259" t="s">
        <v>20</v>
      </c>
      <c r="C259" t="s">
        <v>40</v>
      </c>
      <c r="D259">
        <v>1629</v>
      </c>
      <c r="E259">
        <v>83</v>
      </c>
      <c r="F259">
        <v>17</v>
      </c>
      <c r="G259">
        <v>2024</v>
      </c>
      <c r="H259">
        <v>363425</v>
      </c>
      <c r="I259" t="s">
        <v>48</v>
      </c>
      <c r="J259" t="s">
        <v>54</v>
      </c>
    </row>
    <row r="260" spans="1:10" x14ac:dyDescent="0.45">
      <c r="A260">
        <v>259</v>
      </c>
      <c r="B260" t="s">
        <v>26</v>
      </c>
      <c r="C260" t="s">
        <v>46</v>
      </c>
      <c r="D260">
        <v>2095</v>
      </c>
      <c r="E260">
        <v>80</v>
      </c>
      <c r="F260">
        <v>20</v>
      </c>
      <c r="G260">
        <v>2023</v>
      </c>
      <c r="H260">
        <v>452400</v>
      </c>
      <c r="I260" t="s">
        <v>48</v>
      </c>
      <c r="J260" t="s">
        <v>54</v>
      </c>
    </row>
    <row r="261" spans="1:10" x14ac:dyDescent="0.45">
      <c r="A261">
        <v>260</v>
      </c>
      <c r="B261" t="s">
        <v>25</v>
      </c>
      <c r="C261" t="s">
        <v>45</v>
      </c>
      <c r="D261">
        <v>3511</v>
      </c>
      <c r="E261">
        <v>62</v>
      </c>
      <c r="F261">
        <v>38</v>
      </c>
      <c r="G261">
        <v>2022</v>
      </c>
      <c r="H261">
        <v>517920</v>
      </c>
      <c r="I261" t="s">
        <v>48</v>
      </c>
      <c r="J261" t="s">
        <v>58</v>
      </c>
    </row>
    <row r="262" spans="1:10" x14ac:dyDescent="0.45">
      <c r="A262">
        <v>261</v>
      </c>
      <c r="B262" t="s">
        <v>21</v>
      </c>
      <c r="C262" t="s">
        <v>41</v>
      </c>
      <c r="D262">
        <v>1977</v>
      </c>
      <c r="E262">
        <v>68</v>
      </c>
      <c r="F262">
        <v>32</v>
      </c>
      <c r="G262">
        <v>2025</v>
      </c>
      <c r="H262">
        <v>566004</v>
      </c>
      <c r="I262" t="s">
        <v>48</v>
      </c>
      <c r="J262" t="s">
        <v>63</v>
      </c>
    </row>
    <row r="263" spans="1:10" x14ac:dyDescent="0.45">
      <c r="A263">
        <v>262</v>
      </c>
      <c r="B263" t="s">
        <v>21</v>
      </c>
      <c r="C263" t="s">
        <v>41</v>
      </c>
      <c r="D263">
        <v>4951</v>
      </c>
      <c r="E263">
        <v>85</v>
      </c>
      <c r="F263">
        <v>15</v>
      </c>
      <c r="G263">
        <v>2024</v>
      </c>
      <c r="H263">
        <v>326584</v>
      </c>
      <c r="I263" t="s">
        <v>48</v>
      </c>
      <c r="J263" t="s">
        <v>53</v>
      </c>
    </row>
    <row r="264" spans="1:10" x14ac:dyDescent="0.45">
      <c r="A264">
        <v>263</v>
      </c>
      <c r="B264" t="s">
        <v>27</v>
      </c>
      <c r="C264" t="s">
        <v>36</v>
      </c>
      <c r="D264">
        <v>1850</v>
      </c>
      <c r="E264">
        <v>57</v>
      </c>
      <c r="F264">
        <v>43</v>
      </c>
      <c r="G264">
        <v>2025</v>
      </c>
      <c r="H264">
        <v>344313</v>
      </c>
      <c r="I264" t="s">
        <v>48</v>
      </c>
      <c r="J264" t="s">
        <v>51</v>
      </c>
    </row>
    <row r="265" spans="1:10" x14ac:dyDescent="0.45">
      <c r="A265">
        <v>264</v>
      </c>
      <c r="B265" t="s">
        <v>19</v>
      </c>
      <c r="C265" t="s">
        <v>39</v>
      </c>
      <c r="D265">
        <v>4779</v>
      </c>
      <c r="E265">
        <v>53</v>
      </c>
      <c r="F265">
        <v>47</v>
      </c>
      <c r="G265">
        <v>2022</v>
      </c>
      <c r="H265">
        <v>340985</v>
      </c>
      <c r="I265" t="s">
        <v>48</v>
      </c>
      <c r="J265" t="s">
        <v>56</v>
      </c>
    </row>
    <row r="266" spans="1:10" x14ac:dyDescent="0.45">
      <c r="A266">
        <v>265</v>
      </c>
      <c r="B266" t="s">
        <v>10</v>
      </c>
      <c r="C266" t="s">
        <v>30</v>
      </c>
      <c r="D266">
        <v>1377</v>
      </c>
      <c r="E266">
        <v>78</v>
      </c>
      <c r="F266">
        <v>22</v>
      </c>
      <c r="G266">
        <v>2021</v>
      </c>
      <c r="H266">
        <v>507684</v>
      </c>
      <c r="I266" t="s">
        <v>48</v>
      </c>
      <c r="J266" t="s">
        <v>64</v>
      </c>
    </row>
    <row r="267" spans="1:10" x14ac:dyDescent="0.45">
      <c r="A267">
        <v>266</v>
      </c>
      <c r="B267" t="s">
        <v>24</v>
      </c>
      <c r="C267" t="s">
        <v>44</v>
      </c>
      <c r="D267">
        <v>3447</v>
      </c>
      <c r="E267">
        <v>55</v>
      </c>
      <c r="F267">
        <v>45</v>
      </c>
      <c r="G267">
        <v>2020</v>
      </c>
      <c r="H267">
        <v>520785</v>
      </c>
      <c r="I267" t="s">
        <v>48</v>
      </c>
      <c r="J267" t="s">
        <v>54</v>
      </c>
    </row>
    <row r="268" spans="1:10" x14ac:dyDescent="0.45">
      <c r="A268">
        <v>267</v>
      </c>
      <c r="B268" t="s">
        <v>14</v>
      </c>
      <c r="C268" t="s">
        <v>34</v>
      </c>
      <c r="D268">
        <v>3590</v>
      </c>
      <c r="E268">
        <v>55</v>
      </c>
      <c r="F268">
        <v>45</v>
      </c>
      <c r="G268">
        <v>2025</v>
      </c>
      <c r="H268">
        <v>339621</v>
      </c>
      <c r="I268" t="s">
        <v>48</v>
      </c>
      <c r="J268" t="s">
        <v>53</v>
      </c>
    </row>
    <row r="269" spans="1:10" x14ac:dyDescent="0.45">
      <c r="A269">
        <v>268</v>
      </c>
      <c r="B269" t="s">
        <v>24</v>
      </c>
      <c r="C269" t="s">
        <v>44</v>
      </c>
      <c r="D269">
        <v>2930</v>
      </c>
      <c r="E269">
        <v>77</v>
      </c>
      <c r="F269">
        <v>23</v>
      </c>
      <c r="G269">
        <v>2023</v>
      </c>
      <c r="H269">
        <v>396508</v>
      </c>
      <c r="I269" t="s">
        <v>48</v>
      </c>
      <c r="J269" t="s">
        <v>63</v>
      </c>
    </row>
    <row r="270" spans="1:10" x14ac:dyDescent="0.45">
      <c r="A270">
        <v>269</v>
      </c>
      <c r="B270" t="s">
        <v>11</v>
      </c>
      <c r="C270" t="s">
        <v>31</v>
      </c>
      <c r="D270">
        <v>4670</v>
      </c>
      <c r="E270">
        <v>58</v>
      </c>
      <c r="F270">
        <v>42</v>
      </c>
      <c r="G270">
        <v>2025</v>
      </c>
      <c r="H270">
        <v>492109</v>
      </c>
      <c r="I270" t="s">
        <v>48</v>
      </c>
      <c r="J270" t="s">
        <v>63</v>
      </c>
    </row>
    <row r="271" spans="1:10" x14ac:dyDescent="0.45">
      <c r="A271">
        <v>270</v>
      </c>
      <c r="B271" t="s">
        <v>10</v>
      </c>
      <c r="C271" t="s">
        <v>30</v>
      </c>
      <c r="D271">
        <v>2899</v>
      </c>
      <c r="E271">
        <v>84</v>
      </c>
      <c r="F271">
        <v>16</v>
      </c>
      <c r="G271">
        <v>2025</v>
      </c>
      <c r="H271">
        <v>449419</v>
      </c>
      <c r="I271" t="s">
        <v>48</v>
      </c>
      <c r="J271" t="s">
        <v>59</v>
      </c>
    </row>
    <row r="272" spans="1:10" x14ac:dyDescent="0.45">
      <c r="A272">
        <v>271</v>
      </c>
      <c r="B272" t="s">
        <v>15</v>
      </c>
      <c r="C272" t="s">
        <v>35</v>
      </c>
      <c r="D272">
        <v>1923</v>
      </c>
      <c r="E272">
        <v>78</v>
      </c>
      <c r="F272">
        <v>22</v>
      </c>
      <c r="G272">
        <v>2024</v>
      </c>
      <c r="H272">
        <v>308233</v>
      </c>
      <c r="I272" t="s">
        <v>48</v>
      </c>
      <c r="J272" t="s">
        <v>58</v>
      </c>
    </row>
    <row r="273" spans="1:10" x14ac:dyDescent="0.45">
      <c r="A273">
        <v>272</v>
      </c>
      <c r="B273" t="s">
        <v>18</v>
      </c>
      <c r="C273" t="s">
        <v>38</v>
      </c>
      <c r="D273">
        <v>4590</v>
      </c>
      <c r="E273">
        <v>66</v>
      </c>
      <c r="F273">
        <v>34</v>
      </c>
      <c r="G273">
        <v>2024</v>
      </c>
      <c r="H273">
        <v>501060</v>
      </c>
      <c r="I273" t="s">
        <v>48</v>
      </c>
      <c r="J273" t="s">
        <v>52</v>
      </c>
    </row>
    <row r="274" spans="1:10" x14ac:dyDescent="0.45">
      <c r="A274">
        <v>273</v>
      </c>
      <c r="B274" t="s">
        <v>11</v>
      </c>
      <c r="C274" t="s">
        <v>31</v>
      </c>
      <c r="D274">
        <v>491</v>
      </c>
      <c r="E274">
        <v>65</v>
      </c>
      <c r="F274">
        <v>35</v>
      </c>
      <c r="G274">
        <v>2023</v>
      </c>
      <c r="H274">
        <v>330455</v>
      </c>
      <c r="I274" t="s">
        <v>48</v>
      </c>
      <c r="J274" t="s">
        <v>64</v>
      </c>
    </row>
    <row r="275" spans="1:10" x14ac:dyDescent="0.45">
      <c r="A275">
        <v>274</v>
      </c>
      <c r="B275" t="s">
        <v>29</v>
      </c>
      <c r="C275" t="s">
        <v>47</v>
      </c>
      <c r="D275">
        <v>2754</v>
      </c>
      <c r="E275">
        <v>84</v>
      </c>
      <c r="F275">
        <v>16</v>
      </c>
      <c r="G275">
        <v>2024</v>
      </c>
      <c r="H275">
        <v>253372</v>
      </c>
      <c r="I275" t="s">
        <v>48</v>
      </c>
      <c r="J275" t="s">
        <v>50</v>
      </c>
    </row>
    <row r="276" spans="1:10" x14ac:dyDescent="0.45">
      <c r="A276">
        <v>275</v>
      </c>
      <c r="B276" t="s">
        <v>20</v>
      </c>
      <c r="C276" t="s">
        <v>40</v>
      </c>
      <c r="D276">
        <v>4415</v>
      </c>
      <c r="E276">
        <v>47</v>
      </c>
      <c r="F276">
        <v>53</v>
      </c>
      <c r="G276">
        <v>2020</v>
      </c>
      <c r="H276">
        <v>408355</v>
      </c>
      <c r="I276" t="s">
        <v>49</v>
      </c>
      <c r="J276" t="s">
        <v>53</v>
      </c>
    </row>
    <row r="277" spans="1:10" x14ac:dyDescent="0.45">
      <c r="A277">
        <v>276</v>
      </c>
      <c r="B277" t="s">
        <v>11</v>
      </c>
      <c r="C277" t="s">
        <v>31</v>
      </c>
      <c r="D277">
        <v>4240</v>
      </c>
      <c r="E277">
        <v>76</v>
      </c>
      <c r="F277">
        <v>24</v>
      </c>
      <c r="G277">
        <v>2022</v>
      </c>
      <c r="H277">
        <v>198923</v>
      </c>
      <c r="I277" t="s">
        <v>48</v>
      </c>
      <c r="J277" t="s">
        <v>55</v>
      </c>
    </row>
    <row r="278" spans="1:10" x14ac:dyDescent="0.45">
      <c r="A278">
        <v>277</v>
      </c>
      <c r="B278" t="s">
        <v>18</v>
      </c>
      <c r="C278" t="s">
        <v>38</v>
      </c>
      <c r="D278">
        <v>4333</v>
      </c>
      <c r="E278">
        <v>63</v>
      </c>
      <c r="F278">
        <v>37</v>
      </c>
      <c r="G278">
        <v>2025</v>
      </c>
      <c r="H278">
        <v>568264</v>
      </c>
      <c r="I278" t="s">
        <v>48</v>
      </c>
      <c r="J278" t="s">
        <v>52</v>
      </c>
    </row>
    <row r="279" spans="1:10" x14ac:dyDescent="0.45">
      <c r="A279">
        <v>278</v>
      </c>
      <c r="B279" t="s">
        <v>25</v>
      </c>
      <c r="C279" t="s">
        <v>45</v>
      </c>
      <c r="D279">
        <v>3764</v>
      </c>
      <c r="E279">
        <v>82</v>
      </c>
      <c r="F279">
        <v>18</v>
      </c>
      <c r="G279">
        <v>2021</v>
      </c>
      <c r="H279">
        <v>590670</v>
      </c>
      <c r="I279" t="s">
        <v>48</v>
      </c>
      <c r="J279" t="s">
        <v>63</v>
      </c>
    </row>
    <row r="280" spans="1:10" x14ac:dyDescent="0.45">
      <c r="A280">
        <v>279</v>
      </c>
      <c r="B280" t="s">
        <v>12</v>
      </c>
      <c r="C280" t="s">
        <v>32</v>
      </c>
      <c r="D280">
        <v>4996</v>
      </c>
      <c r="E280">
        <v>82</v>
      </c>
      <c r="F280">
        <v>18</v>
      </c>
      <c r="G280">
        <v>2023</v>
      </c>
      <c r="H280">
        <v>501554</v>
      </c>
      <c r="I280" t="s">
        <v>48</v>
      </c>
      <c r="J280" t="s">
        <v>64</v>
      </c>
    </row>
    <row r="281" spans="1:10" x14ac:dyDescent="0.45">
      <c r="A281">
        <v>280</v>
      </c>
      <c r="B281" t="s">
        <v>25</v>
      </c>
      <c r="C281" t="s">
        <v>45</v>
      </c>
      <c r="D281">
        <v>3134</v>
      </c>
      <c r="E281">
        <v>45</v>
      </c>
      <c r="F281">
        <v>55</v>
      </c>
      <c r="G281">
        <v>2023</v>
      </c>
      <c r="H281">
        <v>286436</v>
      </c>
      <c r="I281" t="s">
        <v>49</v>
      </c>
      <c r="J281" t="s">
        <v>50</v>
      </c>
    </row>
    <row r="282" spans="1:10" x14ac:dyDescent="0.45">
      <c r="A282">
        <v>281</v>
      </c>
      <c r="B282" t="s">
        <v>19</v>
      </c>
      <c r="C282" t="s">
        <v>39</v>
      </c>
      <c r="D282">
        <v>1441</v>
      </c>
      <c r="E282">
        <v>85</v>
      </c>
      <c r="F282">
        <v>15</v>
      </c>
      <c r="G282">
        <v>2024</v>
      </c>
      <c r="H282">
        <v>449703</v>
      </c>
      <c r="I282" t="s">
        <v>48</v>
      </c>
      <c r="J282" t="s">
        <v>55</v>
      </c>
    </row>
    <row r="283" spans="1:10" x14ac:dyDescent="0.45">
      <c r="A283">
        <v>282</v>
      </c>
      <c r="B283" t="s">
        <v>19</v>
      </c>
      <c r="C283" t="s">
        <v>39</v>
      </c>
      <c r="D283">
        <v>1027</v>
      </c>
      <c r="E283">
        <v>65</v>
      </c>
      <c r="F283">
        <v>35</v>
      </c>
      <c r="G283">
        <v>2022</v>
      </c>
      <c r="H283">
        <v>259341</v>
      </c>
      <c r="I283" t="s">
        <v>48</v>
      </c>
      <c r="J283" t="s">
        <v>56</v>
      </c>
    </row>
    <row r="284" spans="1:10" x14ac:dyDescent="0.45">
      <c r="A284">
        <v>283</v>
      </c>
      <c r="B284" t="s">
        <v>18</v>
      </c>
      <c r="C284" t="s">
        <v>38</v>
      </c>
      <c r="D284">
        <v>878</v>
      </c>
      <c r="E284">
        <v>78</v>
      </c>
      <c r="F284">
        <v>22</v>
      </c>
      <c r="G284">
        <v>2024</v>
      </c>
      <c r="H284">
        <v>578096</v>
      </c>
      <c r="I284" t="s">
        <v>48</v>
      </c>
      <c r="J284" t="s">
        <v>56</v>
      </c>
    </row>
    <row r="285" spans="1:10" x14ac:dyDescent="0.45">
      <c r="A285">
        <v>284</v>
      </c>
      <c r="B285" t="s">
        <v>29</v>
      </c>
      <c r="C285" t="s">
        <v>47</v>
      </c>
      <c r="D285">
        <v>4727</v>
      </c>
      <c r="E285">
        <v>58</v>
      </c>
      <c r="F285">
        <v>42</v>
      </c>
      <c r="G285">
        <v>2023</v>
      </c>
      <c r="H285">
        <v>537353</v>
      </c>
      <c r="I285" t="s">
        <v>48</v>
      </c>
      <c r="J285" t="s">
        <v>57</v>
      </c>
    </row>
    <row r="286" spans="1:10" x14ac:dyDescent="0.45">
      <c r="A286">
        <v>285</v>
      </c>
      <c r="B286" t="s">
        <v>11</v>
      </c>
      <c r="C286" t="s">
        <v>31</v>
      </c>
      <c r="D286">
        <v>1117</v>
      </c>
      <c r="E286">
        <v>40</v>
      </c>
      <c r="F286">
        <v>60</v>
      </c>
      <c r="G286">
        <v>2020</v>
      </c>
      <c r="H286">
        <v>438146</v>
      </c>
      <c r="I286" t="s">
        <v>49</v>
      </c>
      <c r="J286" t="s">
        <v>61</v>
      </c>
    </row>
    <row r="287" spans="1:10" x14ac:dyDescent="0.45">
      <c r="A287">
        <v>286</v>
      </c>
      <c r="B287" t="s">
        <v>12</v>
      </c>
      <c r="C287" t="s">
        <v>32</v>
      </c>
      <c r="D287">
        <v>4570</v>
      </c>
      <c r="E287">
        <v>78</v>
      </c>
      <c r="F287">
        <v>22</v>
      </c>
      <c r="G287">
        <v>2020</v>
      </c>
      <c r="H287">
        <v>521563</v>
      </c>
      <c r="I287" t="s">
        <v>48</v>
      </c>
      <c r="J287" t="s">
        <v>50</v>
      </c>
    </row>
    <row r="288" spans="1:10" x14ac:dyDescent="0.45">
      <c r="A288">
        <v>287</v>
      </c>
      <c r="B288" t="s">
        <v>21</v>
      </c>
      <c r="C288" t="s">
        <v>41</v>
      </c>
      <c r="D288">
        <v>4749</v>
      </c>
      <c r="E288">
        <v>85</v>
      </c>
      <c r="F288">
        <v>15</v>
      </c>
      <c r="G288">
        <v>2024</v>
      </c>
      <c r="H288">
        <v>512408</v>
      </c>
      <c r="I288" t="s">
        <v>48</v>
      </c>
      <c r="J288" t="s">
        <v>58</v>
      </c>
    </row>
    <row r="289" spans="1:10" x14ac:dyDescent="0.45">
      <c r="A289">
        <v>288</v>
      </c>
      <c r="B289" t="s">
        <v>14</v>
      </c>
      <c r="C289" t="s">
        <v>34</v>
      </c>
      <c r="D289">
        <v>3701</v>
      </c>
      <c r="E289">
        <v>49</v>
      </c>
      <c r="F289">
        <v>51</v>
      </c>
      <c r="G289">
        <v>2022</v>
      </c>
      <c r="H289">
        <v>324877</v>
      </c>
      <c r="I289" t="s">
        <v>49</v>
      </c>
      <c r="J289" t="s">
        <v>51</v>
      </c>
    </row>
    <row r="290" spans="1:10" x14ac:dyDescent="0.45">
      <c r="A290">
        <v>289</v>
      </c>
      <c r="B290" t="s">
        <v>27</v>
      </c>
      <c r="C290" t="s">
        <v>36</v>
      </c>
      <c r="D290">
        <v>990</v>
      </c>
      <c r="E290">
        <v>74</v>
      </c>
      <c r="F290">
        <v>26</v>
      </c>
      <c r="G290">
        <v>2021</v>
      </c>
      <c r="H290">
        <v>597056</v>
      </c>
      <c r="I290" t="s">
        <v>48</v>
      </c>
      <c r="J290" t="s">
        <v>60</v>
      </c>
    </row>
    <row r="291" spans="1:10" x14ac:dyDescent="0.45">
      <c r="A291">
        <v>290</v>
      </c>
      <c r="B291" t="s">
        <v>24</v>
      </c>
      <c r="C291" t="s">
        <v>44</v>
      </c>
      <c r="D291">
        <v>400</v>
      </c>
      <c r="E291">
        <v>68</v>
      </c>
      <c r="F291">
        <v>32</v>
      </c>
      <c r="G291">
        <v>2025</v>
      </c>
      <c r="H291">
        <v>549071</v>
      </c>
      <c r="I291" t="s">
        <v>48</v>
      </c>
      <c r="J291" t="s">
        <v>60</v>
      </c>
    </row>
    <row r="292" spans="1:10" x14ac:dyDescent="0.45">
      <c r="A292">
        <v>291</v>
      </c>
      <c r="B292" t="s">
        <v>28</v>
      </c>
      <c r="C292" t="s">
        <v>43</v>
      </c>
      <c r="D292">
        <v>1333</v>
      </c>
      <c r="E292">
        <v>70</v>
      </c>
      <c r="F292">
        <v>30</v>
      </c>
      <c r="G292">
        <v>2023</v>
      </c>
      <c r="H292">
        <v>225232</v>
      </c>
      <c r="I292" t="s">
        <v>48</v>
      </c>
      <c r="J292" t="s">
        <v>54</v>
      </c>
    </row>
    <row r="293" spans="1:10" x14ac:dyDescent="0.45">
      <c r="A293">
        <v>292</v>
      </c>
      <c r="B293" t="s">
        <v>11</v>
      </c>
      <c r="C293" t="s">
        <v>31</v>
      </c>
      <c r="D293">
        <v>510</v>
      </c>
      <c r="E293">
        <v>51</v>
      </c>
      <c r="F293">
        <v>49</v>
      </c>
      <c r="G293">
        <v>2021</v>
      </c>
      <c r="H293">
        <v>254231</v>
      </c>
      <c r="I293" t="s">
        <v>48</v>
      </c>
      <c r="J293" t="s">
        <v>54</v>
      </c>
    </row>
    <row r="294" spans="1:10" x14ac:dyDescent="0.45">
      <c r="A294">
        <v>293</v>
      </c>
      <c r="B294" t="s">
        <v>27</v>
      </c>
      <c r="C294" t="s">
        <v>36</v>
      </c>
      <c r="D294">
        <v>1229</v>
      </c>
      <c r="E294">
        <v>70</v>
      </c>
      <c r="F294">
        <v>30</v>
      </c>
      <c r="G294">
        <v>2023</v>
      </c>
      <c r="H294">
        <v>528131</v>
      </c>
      <c r="I294" t="s">
        <v>48</v>
      </c>
      <c r="J294" t="s">
        <v>53</v>
      </c>
    </row>
    <row r="295" spans="1:10" x14ac:dyDescent="0.45">
      <c r="A295">
        <v>294</v>
      </c>
      <c r="B295" t="s">
        <v>21</v>
      </c>
      <c r="C295" t="s">
        <v>41</v>
      </c>
      <c r="D295">
        <v>3573</v>
      </c>
      <c r="E295">
        <v>45</v>
      </c>
      <c r="F295">
        <v>55</v>
      </c>
      <c r="G295">
        <v>2023</v>
      </c>
      <c r="H295">
        <v>384646</v>
      </c>
      <c r="I295" t="s">
        <v>49</v>
      </c>
      <c r="J295" t="s">
        <v>59</v>
      </c>
    </row>
    <row r="296" spans="1:10" x14ac:dyDescent="0.45">
      <c r="A296">
        <v>295</v>
      </c>
      <c r="B296" t="s">
        <v>25</v>
      </c>
      <c r="C296" t="s">
        <v>45</v>
      </c>
      <c r="D296">
        <v>3088</v>
      </c>
      <c r="E296">
        <v>43</v>
      </c>
      <c r="F296">
        <v>57</v>
      </c>
      <c r="G296">
        <v>2024</v>
      </c>
      <c r="H296">
        <v>213216</v>
      </c>
      <c r="I296" t="s">
        <v>49</v>
      </c>
      <c r="J296" t="s">
        <v>53</v>
      </c>
    </row>
    <row r="297" spans="1:10" x14ac:dyDescent="0.45">
      <c r="A297">
        <v>296</v>
      </c>
      <c r="B297" t="s">
        <v>13</v>
      </c>
      <c r="C297" t="s">
        <v>33</v>
      </c>
      <c r="D297">
        <v>2898</v>
      </c>
      <c r="E297">
        <v>45</v>
      </c>
      <c r="F297">
        <v>55</v>
      </c>
      <c r="G297">
        <v>2020</v>
      </c>
      <c r="H297">
        <v>423112</v>
      </c>
      <c r="I297" t="s">
        <v>49</v>
      </c>
      <c r="J297" t="s">
        <v>50</v>
      </c>
    </row>
    <row r="298" spans="1:10" x14ac:dyDescent="0.45">
      <c r="A298">
        <v>297</v>
      </c>
      <c r="B298" t="s">
        <v>24</v>
      </c>
      <c r="C298" t="s">
        <v>44</v>
      </c>
      <c r="D298">
        <v>390</v>
      </c>
      <c r="E298">
        <v>85</v>
      </c>
      <c r="F298">
        <v>15</v>
      </c>
      <c r="G298">
        <v>2021</v>
      </c>
      <c r="H298">
        <v>252752</v>
      </c>
      <c r="I298" t="s">
        <v>48</v>
      </c>
      <c r="J298" t="s">
        <v>54</v>
      </c>
    </row>
    <row r="299" spans="1:10" x14ac:dyDescent="0.45">
      <c r="A299">
        <v>298</v>
      </c>
      <c r="B299" t="s">
        <v>23</v>
      </c>
      <c r="C299" t="s">
        <v>43</v>
      </c>
      <c r="D299">
        <v>2408</v>
      </c>
      <c r="E299">
        <v>66</v>
      </c>
      <c r="F299">
        <v>34</v>
      </c>
      <c r="G299">
        <v>2020</v>
      </c>
      <c r="H299">
        <v>407119</v>
      </c>
      <c r="I299" t="s">
        <v>48</v>
      </c>
      <c r="J299" t="s">
        <v>64</v>
      </c>
    </row>
    <row r="300" spans="1:10" x14ac:dyDescent="0.45">
      <c r="A300">
        <v>299</v>
      </c>
      <c r="B300" t="s">
        <v>26</v>
      </c>
      <c r="C300" t="s">
        <v>46</v>
      </c>
      <c r="D300">
        <v>1162</v>
      </c>
      <c r="E300">
        <v>52</v>
      </c>
      <c r="F300">
        <v>48</v>
      </c>
      <c r="G300">
        <v>2023</v>
      </c>
      <c r="H300">
        <v>481702</v>
      </c>
      <c r="I300" t="s">
        <v>48</v>
      </c>
      <c r="J300" t="s">
        <v>54</v>
      </c>
    </row>
    <row r="301" spans="1:10" x14ac:dyDescent="0.45">
      <c r="A301">
        <v>300</v>
      </c>
      <c r="B301" t="s">
        <v>28</v>
      </c>
      <c r="C301" t="s">
        <v>43</v>
      </c>
      <c r="D301">
        <v>243</v>
      </c>
      <c r="E301">
        <v>40</v>
      </c>
      <c r="F301">
        <v>60</v>
      </c>
      <c r="G301">
        <v>2020</v>
      </c>
      <c r="H301">
        <v>378527</v>
      </c>
      <c r="I301" t="s">
        <v>49</v>
      </c>
      <c r="J301" t="s">
        <v>63</v>
      </c>
    </row>
    <row r="302" spans="1:10" x14ac:dyDescent="0.45">
      <c r="A302">
        <v>301</v>
      </c>
      <c r="B302" t="s">
        <v>10</v>
      </c>
      <c r="C302" t="s">
        <v>30</v>
      </c>
      <c r="D302">
        <v>3238</v>
      </c>
      <c r="E302">
        <v>58</v>
      </c>
      <c r="F302">
        <v>42</v>
      </c>
      <c r="G302">
        <v>2021</v>
      </c>
      <c r="H302">
        <v>502042</v>
      </c>
      <c r="I302" t="s">
        <v>48</v>
      </c>
      <c r="J302" t="s">
        <v>53</v>
      </c>
    </row>
    <row r="303" spans="1:10" x14ac:dyDescent="0.45">
      <c r="A303">
        <v>302</v>
      </c>
      <c r="B303" t="s">
        <v>13</v>
      </c>
      <c r="C303" t="s">
        <v>33</v>
      </c>
      <c r="D303">
        <v>4351</v>
      </c>
      <c r="E303">
        <v>65</v>
      </c>
      <c r="F303">
        <v>35</v>
      </c>
      <c r="G303">
        <v>2022</v>
      </c>
      <c r="H303">
        <v>277685</v>
      </c>
      <c r="I303" t="s">
        <v>48</v>
      </c>
      <c r="J303" t="s">
        <v>60</v>
      </c>
    </row>
    <row r="304" spans="1:10" x14ac:dyDescent="0.45">
      <c r="A304">
        <v>303</v>
      </c>
      <c r="B304" t="s">
        <v>23</v>
      </c>
      <c r="C304" t="s">
        <v>43</v>
      </c>
      <c r="D304">
        <v>2683</v>
      </c>
      <c r="E304">
        <v>72</v>
      </c>
      <c r="F304">
        <v>28</v>
      </c>
      <c r="G304">
        <v>2021</v>
      </c>
      <c r="H304">
        <v>508104</v>
      </c>
      <c r="I304" t="s">
        <v>48</v>
      </c>
      <c r="J304" t="s">
        <v>57</v>
      </c>
    </row>
    <row r="305" spans="1:10" x14ac:dyDescent="0.45">
      <c r="A305">
        <v>304</v>
      </c>
      <c r="B305" t="s">
        <v>12</v>
      </c>
      <c r="C305" t="s">
        <v>32</v>
      </c>
      <c r="D305">
        <v>928</v>
      </c>
      <c r="E305">
        <v>55</v>
      </c>
      <c r="F305">
        <v>45</v>
      </c>
      <c r="G305">
        <v>2025</v>
      </c>
      <c r="H305">
        <v>284849</v>
      </c>
      <c r="I305" t="s">
        <v>48</v>
      </c>
      <c r="J305" t="s">
        <v>52</v>
      </c>
    </row>
    <row r="306" spans="1:10" x14ac:dyDescent="0.45">
      <c r="A306">
        <v>305</v>
      </c>
      <c r="B306" t="s">
        <v>22</v>
      </c>
      <c r="C306" t="s">
        <v>42</v>
      </c>
      <c r="D306">
        <v>2761</v>
      </c>
      <c r="E306">
        <v>52</v>
      </c>
      <c r="F306">
        <v>48</v>
      </c>
      <c r="G306">
        <v>2021</v>
      </c>
      <c r="H306">
        <v>341146</v>
      </c>
      <c r="I306" t="s">
        <v>48</v>
      </c>
      <c r="J306" t="s">
        <v>55</v>
      </c>
    </row>
    <row r="307" spans="1:10" x14ac:dyDescent="0.45">
      <c r="A307">
        <v>306</v>
      </c>
      <c r="B307" t="s">
        <v>21</v>
      </c>
      <c r="C307" t="s">
        <v>41</v>
      </c>
      <c r="D307">
        <v>1681</v>
      </c>
      <c r="E307">
        <v>53</v>
      </c>
      <c r="F307">
        <v>47</v>
      </c>
      <c r="G307">
        <v>2025</v>
      </c>
      <c r="H307">
        <v>442369</v>
      </c>
      <c r="I307" t="s">
        <v>48</v>
      </c>
      <c r="J307" t="s">
        <v>61</v>
      </c>
    </row>
    <row r="308" spans="1:10" x14ac:dyDescent="0.45">
      <c r="A308">
        <v>307</v>
      </c>
      <c r="B308" t="s">
        <v>25</v>
      </c>
      <c r="C308" t="s">
        <v>45</v>
      </c>
      <c r="D308">
        <v>4701</v>
      </c>
      <c r="E308">
        <v>47</v>
      </c>
      <c r="F308">
        <v>53</v>
      </c>
      <c r="G308">
        <v>2022</v>
      </c>
      <c r="H308">
        <v>183547</v>
      </c>
      <c r="I308" t="s">
        <v>49</v>
      </c>
      <c r="J308" t="s">
        <v>52</v>
      </c>
    </row>
    <row r="309" spans="1:10" x14ac:dyDescent="0.45">
      <c r="A309">
        <v>308</v>
      </c>
      <c r="B309" t="s">
        <v>16</v>
      </c>
      <c r="C309" t="s">
        <v>36</v>
      </c>
      <c r="D309">
        <v>553</v>
      </c>
      <c r="E309">
        <v>71</v>
      </c>
      <c r="F309">
        <v>29</v>
      </c>
      <c r="G309">
        <v>2021</v>
      </c>
      <c r="H309">
        <v>339671</v>
      </c>
      <c r="I309" t="s">
        <v>48</v>
      </c>
      <c r="J309" t="s">
        <v>59</v>
      </c>
    </row>
    <row r="310" spans="1:10" x14ac:dyDescent="0.45">
      <c r="A310">
        <v>309</v>
      </c>
      <c r="B310" t="s">
        <v>14</v>
      </c>
      <c r="C310" t="s">
        <v>34</v>
      </c>
      <c r="D310">
        <v>722</v>
      </c>
      <c r="E310">
        <v>52</v>
      </c>
      <c r="F310">
        <v>48</v>
      </c>
      <c r="G310">
        <v>2020</v>
      </c>
      <c r="H310">
        <v>550820</v>
      </c>
      <c r="I310" t="s">
        <v>48</v>
      </c>
      <c r="J310" t="s">
        <v>54</v>
      </c>
    </row>
    <row r="311" spans="1:10" x14ac:dyDescent="0.45">
      <c r="A311">
        <v>310</v>
      </c>
      <c r="B311" t="s">
        <v>27</v>
      </c>
      <c r="C311" t="s">
        <v>36</v>
      </c>
      <c r="D311">
        <v>4804</v>
      </c>
      <c r="E311">
        <v>73</v>
      </c>
      <c r="F311">
        <v>27</v>
      </c>
      <c r="G311">
        <v>2022</v>
      </c>
      <c r="H311">
        <v>351215</v>
      </c>
      <c r="I311" t="s">
        <v>48</v>
      </c>
      <c r="J311" t="s">
        <v>59</v>
      </c>
    </row>
    <row r="312" spans="1:10" x14ac:dyDescent="0.45">
      <c r="A312">
        <v>311</v>
      </c>
      <c r="B312" t="s">
        <v>16</v>
      </c>
      <c r="C312" t="s">
        <v>36</v>
      </c>
      <c r="D312">
        <v>4568</v>
      </c>
      <c r="E312">
        <v>81</v>
      </c>
      <c r="F312">
        <v>19</v>
      </c>
      <c r="G312">
        <v>2023</v>
      </c>
      <c r="H312">
        <v>562551</v>
      </c>
      <c r="I312" t="s">
        <v>48</v>
      </c>
      <c r="J312" t="s">
        <v>61</v>
      </c>
    </row>
    <row r="313" spans="1:10" x14ac:dyDescent="0.45">
      <c r="A313">
        <v>312</v>
      </c>
      <c r="B313" t="s">
        <v>14</v>
      </c>
      <c r="C313" t="s">
        <v>34</v>
      </c>
      <c r="D313">
        <v>4078</v>
      </c>
      <c r="E313">
        <v>42</v>
      </c>
      <c r="F313">
        <v>58</v>
      </c>
      <c r="G313">
        <v>2020</v>
      </c>
      <c r="H313">
        <v>337835</v>
      </c>
      <c r="I313" t="s">
        <v>49</v>
      </c>
      <c r="J313" t="s">
        <v>51</v>
      </c>
    </row>
    <row r="314" spans="1:10" x14ac:dyDescent="0.45">
      <c r="A314">
        <v>313</v>
      </c>
      <c r="B314" t="s">
        <v>15</v>
      </c>
      <c r="C314" t="s">
        <v>35</v>
      </c>
      <c r="D314">
        <v>3892</v>
      </c>
      <c r="E314">
        <v>63</v>
      </c>
      <c r="F314">
        <v>37</v>
      </c>
      <c r="G314">
        <v>2023</v>
      </c>
      <c r="H314">
        <v>202610</v>
      </c>
      <c r="I314" t="s">
        <v>48</v>
      </c>
      <c r="J314" t="s">
        <v>60</v>
      </c>
    </row>
    <row r="315" spans="1:10" x14ac:dyDescent="0.45">
      <c r="A315">
        <v>314</v>
      </c>
      <c r="B315" t="s">
        <v>26</v>
      </c>
      <c r="C315" t="s">
        <v>46</v>
      </c>
      <c r="D315">
        <v>1442</v>
      </c>
      <c r="E315">
        <v>80</v>
      </c>
      <c r="F315">
        <v>20</v>
      </c>
      <c r="G315">
        <v>2023</v>
      </c>
      <c r="H315">
        <v>356943</v>
      </c>
      <c r="I315" t="s">
        <v>48</v>
      </c>
      <c r="J315" t="s">
        <v>50</v>
      </c>
    </row>
    <row r="316" spans="1:10" x14ac:dyDescent="0.45">
      <c r="A316">
        <v>315</v>
      </c>
      <c r="B316" t="s">
        <v>26</v>
      </c>
      <c r="C316" t="s">
        <v>46</v>
      </c>
      <c r="D316">
        <v>1560</v>
      </c>
      <c r="E316">
        <v>42</v>
      </c>
      <c r="F316">
        <v>58</v>
      </c>
      <c r="G316">
        <v>2020</v>
      </c>
      <c r="H316">
        <v>517130</v>
      </c>
      <c r="I316" t="s">
        <v>49</v>
      </c>
      <c r="J316" t="s">
        <v>61</v>
      </c>
    </row>
    <row r="317" spans="1:10" x14ac:dyDescent="0.45">
      <c r="A317">
        <v>316</v>
      </c>
      <c r="B317" t="s">
        <v>18</v>
      </c>
      <c r="C317" t="s">
        <v>38</v>
      </c>
      <c r="D317">
        <v>2209</v>
      </c>
      <c r="E317">
        <v>47</v>
      </c>
      <c r="F317">
        <v>53</v>
      </c>
      <c r="G317">
        <v>2024</v>
      </c>
      <c r="H317">
        <v>471260</v>
      </c>
      <c r="I317" t="s">
        <v>49</v>
      </c>
      <c r="J317" t="s">
        <v>54</v>
      </c>
    </row>
    <row r="318" spans="1:10" x14ac:dyDescent="0.45">
      <c r="A318">
        <v>317</v>
      </c>
      <c r="B318" t="s">
        <v>13</v>
      </c>
      <c r="C318" t="s">
        <v>33</v>
      </c>
      <c r="D318">
        <v>4091</v>
      </c>
      <c r="E318">
        <v>75</v>
      </c>
      <c r="F318">
        <v>25</v>
      </c>
      <c r="G318">
        <v>2025</v>
      </c>
      <c r="H318">
        <v>544116</v>
      </c>
      <c r="I318" t="s">
        <v>48</v>
      </c>
      <c r="J318" t="s">
        <v>59</v>
      </c>
    </row>
    <row r="319" spans="1:10" x14ac:dyDescent="0.45">
      <c r="A319">
        <v>318</v>
      </c>
      <c r="B319" t="s">
        <v>19</v>
      </c>
      <c r="C319" t="s">
        <v>39</v>
      </c>
      <c r="D319">
        <v>4989</v>
      </c>
      <c r="E319">
        <v>53</v>
      </c>
      <c r="F319">
        <v>47</v>
      </c>
      <c r="G319">
        <v>2022</v>
      </c>
      <c r="H319">
        <v>340120</v>
      </c>
      <c r="I319" t="s">
        <v>48</v>
      </c>
      <c r="J319" t="s">
        <v>54</v>
      </c>
    </row>
    <row r="320" spans="1:10" x14ac:dyDescent="0.45">
      <c r="A320">
        <v>319</v>
      </c>
      <c r="B320" t="s">
        <v>21</v>
      </c>
      <c r="C320" t="s">
        <v>41</v>
      </c>
      <c r="D320">
        <v>4752</v>
      </c>
      <c r="E320">
        <v>47</v>
      </c>
      <c r="F320">
        <v>53</v>
      </c>
      <c r="G320">
        <v>2021</v>
      </c>
      <c r="H320">
        <v>472459</v>
      </c>
      <c r="I320" t="s">
        <v>49</v>
      </c>
      <c r="J320" t="s">
        <v>57</v>
      </c>
    </row>
    <row r="321" spans="1:10" x14ac:dyDescent="0.45">
      <c r="A321">
        <v>320</v>
      </c>
      <c r="B321" t="s">
        <v>20</v>
      </c>
      <c r="C321" t="s">
        <v>40</v>
      </c>
      <c r="D321">
        <v>1744</v>
      </c>
      <c r="E321">
        <v>74</v>
      </c>
      <c r="F321">
        <v>26</v>
      </c>
      <c r="G321">
        <v>2022</v>
      </c>
      <c r="H321">
        <v>461812</v>
      </c>
      <c r="I321" t="s">
        <v>48</v>
      </c>
      <c r="J321" t="s">
        <v>57</v>
      </c>
    </row>
    <row r="322" spans="1:10" x14ac:dyDescent="0.45">
      <c r="A322">
        <v>321</v>
      </c>
      <c r="B322" t="s">
        <v>20</v>
      </c>
      <c r="C322" t="s">
        <v>40</v>
      </c>
      <c r="D322">
        <v>826</v>
      </c>
      <c r="E322">
        <v>78</v>
      </c>
      <c r="F322">
        <v>22</v>
      </c>
      <c r="G322">
        <v>2020</v>
      </c>
      <c r="H322">
        <v>204483</v>
      </c>
      <c r="I322" t="s">
        <v>48</v>
      </c>
      <c r="J322" t="s">
        <v>55</v>
      </c>
    </row>
    <row r="323" spans="1:10" x14ac:dyDescent="0.45">
      <c r="A323">
        <v>322</v>
      </c>
      <c r="B323" t="s">
        <v>20</v>
      </c>
      <c r="C323" t="s">
        <v>40</v>
      </c>
      <c r="D323">
        <v>3934</v>
      </c>
      <c r="E323">
        <v>71</v>
      </c>
      <c r="F323">
        <v>29</v>
      </c>
      <c r="G323">
        <v>2021</v>
      </c>
      <c r="H323">
        <v>365873</v>
      </c>
      <c r="I323" t="s">
        <v>48</v>
      </c>
      <c r="J323" t="s">
        <v>56</v>
      </c>
    </row>
    <row r="324" spans="1:10" x14ac:dyDescent="0.45">
      <c r="A324">
        <v>323</v>
      </c>
      <c r="B324" t="s">
        <v>14</v>
      </c>
      <c r="C324" t="s">
        <v>34</v>
      </c>
      <c r="D324">
        <v>3112</v>
      </c>
      <c r="E324">
        <v>62</v>
      </c>
      <c r="F324">
        <v>38</v>
      </c>
      <c r="G324">
        <v>2022</v>
      </c>
      <c r="H324">
        <v>354310</v>
      </c>
      <c r="I324" t="s">
        <v>48</v>
      </c>
      <c r="J324" t="s">
        <v>62</v>
      </c>
    </row>
    <row r="325" spans="1:10" x14ac:dyDescent="0.45">
      <c r="A325">
        <v>324</v>
      </c>
      <c r="B325" t="s">
        <v>11</v>
      </c>
      <c r="C325" t="s">
        <v>31</v>
      </c>
      <c r="D325">
        <v>658</v>
      </c>
      <c r="E325">
        <v>78</v>
      </c>
      <c r="F325">
        <v>22</v>
      </c>
      <c r="G325">
        <v>2022</v>
      </c>
      <c r="H325">
        <v>418110</v>
      </c>
      <c r="I325" t="s">
        <v>48</v>
      </c>
      <c r="J325" t="s">
        <v>61</v>
      </c>
    </row>
    <row r="326" spans="1:10" x14ac:dyDescent="0.45">
      <c r="A326">
        <v>325</v>
      </c>
      <c r="B326" t="s">
        <v>23</v>
      </c>
      <c r="C326" t="s">
        <v>43</v>
      </c>
      <c r="D326">
        <v>2094</v>
      </c>
      <c r="E326">
        <v>50</v>
      </c>
      <c r="F326">
        <v>50</v>
      </c>
      <c r="G326">
        <v>2021</v>
      </c>
      <c r="H326">
        <v>593504</v>
      </c>
      <c r="I326" t="s">
        <v>49</v>
      </c>
      <c r="J326" t="s">
        <v>53</v>
      </c>
    </row>
    <row r="327" spans="1:10" x14ac:dyDescent="0.45">
      <c r="A327">
        <v>326</v>
      </c>
      <c r="B327" t="s">
        <v>14</v>
      </c>
      <c r="C327" t="s">
        <v>34</v>
      </c>
      <c r="D327">
        <v>1551</v>
      </c>
      <c r="E327">
        <v>70</v>
      </c>
      <c r="F327">
        <v>30</v>
      </c>
      <c r="G327">
        <v>2024</v>
      </c>
      <c r="H327">
        <v>476333</v>
      </c>
      <c r="I327" t="s">
        <v>48</v>
      </c>
      <c r="J327" t="s">
        <v>63</v>
      </c>
    </row>
    <row r="328" spans="1:10" x14ac:dyDescent="0.45">
      <c r="A328">
        <v>327</v>
      </c>
      <c r="B328" t="s">
        <v>28</v>
      </c>
      <c r="C328" t="s">
        <v>43</v>
      </c>
      <c r="D328">
        <v>254</v>
      </c>
      <c r="E328">
        <v>70</v>
      </c>
      <c r="F328">
        <v>30</v>
      </c>
      <c r="G328">
        <v>2024</v>
      </c>
      <c r="H328">
        <v>490987</v>
      </c>
      <c r="I328" t="s">
        <v>48</v>
      </c>
      <c r="J328" t="s">
        <v>64</v>
      </c>
    </row>
    <row r="329" spans="1:10" x14ac:dyDescent="0.45">
      <c r="A329">
        <v>328</v>
      </c>
      <c r="B329" t="s">
        <v>24</v>
      </c>
      <c r="C329" t="s">
        <v>44</v>
      </c>
      <c r="D329">
        <v>2599</v>
      </c>
      <c r="E329">
        <v>79</v>
      </c>
      <c r="F329">
        <v>21</v>
      </c>
      <c r="G329">
        <v>2020</v>
      </c>
      <c r="H329">
        <v>407598</v>
      </c>
      <c r="I329" t="s">
        <v>48</v>
      </c>
      <c r="J329" t="s">
        <v>61</v>
      </c>
    </row>
    <row r="330" spans="1:10" x14ac:dyDescent="0.45">
      <c r="A330">
        <v>329</v>
      </c>
      <c r="B330" t="s">
        <v>22</v>
      </c>
      <c r="C330" t="s">
        <v>42</v>
      </c>
      <c r="D330">
        <v>2256</v>
      </c>
      <c r="E330">
        <v>51</v>
      </c>
      <c r="F330">
        <v>49</v>
      </c>
      <c r="G330">
        <v>2025</v>
      </c>
      <c r="H330">
        <v>535195</v>
      </c>
      <c r="I330" t="s">
        <v>48</v>
      </c>
      <c r="J330" t="s">
        <v>51</v>
      </c>
    </row>
    <row r="331" spans="1:10" x14ac:dyDescent="0.45">
      <c r="A331">
        <v>330</v>
      </c>
      <c r="B331" t="s">
        <v>24</v>
      </c>
      <c r="C331" t="s">
        <v>44</v>
      </c>
      <c r="D331">
        <v>569</v>
      </c>
      <c r="E331">
        <v>53</v>
      </c>
      <c r="F331">
        <v>47</v>
      </c>
      <c r="G331">
        <v>2023</v>
      </c>
      <c r="H331">
        <v>197421</v>
      </c>
      <c r="I331" t="s">
        <v>48</v>
      </c>
      <c r="J331" t="s">
        <v>54</v>
      </c>
    </row>
    <row r="332" spans="1:10" x14ac:dyDescent="0.45">
      <c r="A332">
        <v>331</v>
      </c>
      <c r="B332" t="s">
        <v>17</v>
      </c>
      <c r="C332" t="s">
        <v>37</v>
      </c>
      <c r="D332">
        <v>1537</v>
      </c>
      <c r="E332">
        <v>74</v>
      </c>
      <c r="F332">
        <v>26</v>
      </c>
      <c r="G332">
        <v>2023</v>
      </c>
      <c r="H332">
        <v>562533</v>
      </c>
      <c r="I332" t="s">
        <v>48</v>
      </c>
      <c r="J332" t="s">
        <v>60</v>
      </c>
    </row>
    <row r="333" spans="1:10" x14ac:dyDescent="0.45">
      <c r="A333">
        <v>332</v>
      </c>
      <c r="B333" t="s">
        <v>23</v>
      </c>
      <c r="C333" t="s">
        <v>43</v>
      </c>
      <c r="D333">
        <v>4792</v>
      </c>
      <c r="E333">
        <v>84</v>
      </c>
      <c r="F333">
        <v>16</v>
      </c>
      <c r="G333">
        <v>2025</v>
      </c>
      <c r="H333">
        <v>488802</v>
      </c>
      <c r="I333" t="s">
        <v>48</v>
      </c>
      <c r="J333" t="s">
        <v>64</v>
      </c>
    </row>
    <row r="334" spans="1:10" x14ac:dyDescent="0.45">
      <c r="A334">
        <v>333</v>
      </c>
      <c r="B334" t="s">
        <v>24</v>
      </c>
      <c r="C334" t="s">
        <v>44</v>
      </c>
      <c r="D334">
        <v>647</v>
      </c>
      <c r="E334">
        <v>81</v>
      </c>
      <c r="F334">
        <v>19</v>
      </c>
      <c r="G334">
        <v>2024</v>
      </c>
      <c r="H334">
        <v>427846</v>
      </c>
      <c r="I334" t="s">
        <v>48</v>
      </c>
      <c r="J334" t="s">
        <v>60</v>
      </c>
    </row>
    <row r="335" spans="1:10" x14ac:dyDescent="0.45">
      <c r="A335">
        <v>334</v>
      </c>
      <c r="B335" t="s">
        <v>29</v>
      </c>
      <c r="C335" t="s">
        <v>47</v>
      </c>
      <c r="D335">
        <v>1901</v>
      </c>
      <c r="E335">
        <v>47</v>
      </c>
      <c r="F335">
        <v>53</v>
      </c>
      <c r="G335">
        <v>2025</v>
      </c>
      <c r="H335">
        <v>215252</v>
      </c>
      <c r="I335" t="s">
        <v>49</v>
      </c>
      <c r="J335" t="s">
        <v>60</v>
      </c>
    </row>
    <row r="336" spans="1:10" x14ac:dyDescent="0.45">
      <c r="A336">
        <v>335</v>
      </c>
      <c r="B336" t="s">
        <v>14</v>
      </c>
      <c r="C336" t="s">
        <v>34</v>
      </c>
      <c r="D336">
        <v>2654</v>
      </c>
      <c r="E336">
        <v>54</v>
      </c>
      <c r="F336">
        <v>46</v>
      </c>
      <c r="G336">
        <v>2021</v>
      </c>
      <c r="H336">
        <v>429577</v>
      </c>
      <c r="I336" t="s">
        <v>48</v>
      </c>
      <c r="J336" t="s">
        <v>56</v>
      </c>
    </row>
    <row r="337" spans="1:10" x14ac:dyDescent="0.45">
      <c r="A337">
        <v>336</v>
      </c>
      <c r="B337" t="s">
        <v>13</v>
      </c>
      <c r="C337" t="s">
        <v>33</v>
      </c>
      <c r="D337">
        <v>2064</v>
      </c>
      <c r="E337">
        <v>40</v>
      </c>
      <c r="F337">
        <v>60</v>
      </c>
      <c r="G337">
        <v>2025</v>
      </c>
      <c r="H337">
        <v>488899</v>
      </c>
      <c r="I337" t="s">
        <v>49</v>
      </c>
      <c r="J337" t="s">
        <v>53</v>
      </c>
    </row>
    <row r="338" spans="1:10" x14ac:dyDescent="0.45">
      <c r="A338">
        <v>337</v>
      </c>
      <c r="B338" t="s">
        <v>27</v>
      </c>
      <c r="C338" t="s">
        <v>36</v>
      </c>
      <c r="D338">
        <v>1414</v>
      </c>
      <c r="E338">
        <v>53</v>
      </c>
      <c r="F338">
        <v>47</v>
      </c>
      <c r="G338">
        <v>2020</v>
      </c>
      <c r="H338">
        <v>495088</v>
      </c>
      <c r="I338" t="s">
        <v>48</v>
      </c>
      <c r="J338" t="s">
        <v>56</v>
      </c>
    </row>
    <row r="339" spans="1:10" x14ac:dyDescent="0.45">
      <c r="A339">
        <v>338</v>
      </c>
      <c r="B339" t="s">
        <v>19</v>
      </c>
      <c r="C339" t="s">
        <v>39</v>
      </c>
      <c r="D339">
        <v>3737</v>
      </c>
      <c r="E339">
        <v>75</v>
      </c>
      <c r="F339">
        <v>25</v>
      </c>
      <c r="G339">
        <v>2021</v>
      </c>
      <c r="H339">
        <v>329466</v>
      </c>
      <c r="I339" t="s">
        <v>48</v>
      </c>
      <c r="J339" t="s">
        <v>61</v>
      </c>
    </row>
    <row r="340" spans="1:10" x14ac:dyDescent="0.45">
      <c r="A340">
        <v>339</v>
      </c>
      <c r="B340" t="s">
        <v>13</v>
      </c>
      <c r="C340" t="s">
        <v>33</v>
      </c>
      <c r="D340">
        <v>713</v>
      </c>
      <c r="E340">
        <v>77</v>
      </c>
      <c r="F340">
        <v>23</v>
      </c>
      <c r="G340">
        <v>2021</v>
      </c>
      <c r="H340">
        <v>309425</v>
      </c>
      <c r="I340" t="s">
        <v>48</v>
      </c>
      <c r="J340" t="s">
        <v>60</v>
      </c>
    </row>
    <row r="341" spans="1:10" x14ac:dyDescent="0.45">
      <c r="A341">
        <v>340</v>
      </c>
      <c r="B341" t="s">
        <v>20</v>
      </c>
      <c r="C341" t="s">
        <v>40</v>
      </c>
      <c r="D341">
        <v>756</v>
      </c>
      <c r="E341">
        <v>80</v>
      </c>
      <c r="F341">
        <v>20</v>
      </c>
      <c r="G341">
        <v>2020</v>
      </c>
      <c r="H341">
        <v>386223</v>
      </c>
      <c r="I341" t="s">
        <v>48</v>
      </c>
      <c r="J341" t="s">
        <v>56</v>
      </c>
    </row>
    <row r="342" spans="1:10" x14ac:dyDescent="0.45">
      <c r="A342">
        <v>341</v>
      </c>
      <c r="B342" t="s">
        <v>21</v>
      </c>
      <c r="C342" t="s">
        <v>41</v>
      </c>
      <c r="D342">
        <v>1841</v>
      </c>
      <c r="E342">
        <v>74</v>
      </c>
      <c r="F342">
        <v>26</v>
      </c>
      <c r="G342">
        <v>2021</v>
      </c>
      <c r="H342">
        <v>373137</v>
      </c>
      <c r="I342" t="s">
        <v>48</v>
      </c>
      <c r="J342" t="s">
        <v>57</v>
      </c>
    </row>
    <row r="343" spans="1:10" x14ac:dyDescent="0.45">
      <c r="A343">
        <v>342</v>
      </c>
      <c r="B343" t="s">
        <v>12</v>
      </c>
      <c r="C343" t="s">
        <v>32</v>
      </c>
      <c r="D343">
        <v>3796</v>
      </c>
      <c r="E343">
        <v>59</v>
      </c>
      <c r="F343">
        <v>41</v>
      </c>
      <c r="G343">
        <v>2024</v>
      </c>
      <c r="H343">
        <v>557578</v>
      </c>
      <c r="I343" t="s">
        <v>48</v>
      </c>
      <c r="J343" t="s">
        <v>60</v>
      </c>
    </row>
    <row r="344" spans="1:10" x14ac:dyDescent="0.45">
      <c r="A344">
        <v>343</v>
      </c>
      <c r="B344" t="s">
        <v>25</v>
      </c>
      <c r="C344" t="s">
        <v>45</v>
      </c>
      <c r="D344">
        <v>1588</v>
      </c>
      <c r="E344">
        <v>55</v>
      </c>
      <c r="F344">
        <v>45</v>
      </c>
      <c r="G344">
        <v>2020</v>
      </c>
      <c r="H344">
        <v>482371</v>
      </c>
      <c r="I344" t="s">
        <v>48</v>
      </c>
      <c r="J344" t="s">
        <v>57</v>
      </c>
    </row>
    <row r="345" spans="1:10" x14ac:dyDescent="0.45">
      <c r="A345">
        <v>344</v>
      </c>
      <c r="B345" t="s">
        <v>28</v>
      </c>
      <c r="C345" t="s">
        <v>43</v>
      </c>
      <c r="D345">
        <v>3450</v>
      </c>
      <c r="E345">
        <v>61</v>
      </c>
      <c r="F345">
        <v>39</v>
      </c>
      <c r="G345">
        <v>2021</v>
      </c>
      <c r="H345">
        <v>442110</v>
      </c>
      <c r="I345" t="s">
        <v>48</v>
      </c>
      <c r="J345" t="s">
        <v>56</v>
      </c>
    </row>
    <row r="346" spans="1:10" x14ac:dyDescent="0.45">
      <c r="A346">
        <v>345</v>
      </c>
      <c r="B346" t="s">
        <v>10</v>
      </c>
      <c r="C346" t="s">
        <v>30</v>
      </c>
      <c r="D346">
        <v>1698</v>
      </c>
      <c r="E346">
        <v>48</v>
      </c>
      <c r="F346">
        <v>52</v>
      </c>
      <c r="G346">
        <v>2020</v>
      </c>
      <c r="H346">
        <v>366265</v>
      </c>
      <c r="I346" t="s">
        <v>49</v>
      </c>
      <c r="J346" t="s">
        <v>60</v>
      </c>
    </row>
    <row r="347" spans="1:10" x14ac:dyDescent="0.45">
      <c r="A347">
        <v>346</v>
      </c>
      <c r="B347" t="s">
        <v>19</v>
      </c>
      <c r="C347" t="s">
        <v>39</v>
      </c>
      <c r="D347">
        <v>552</v>
      </c>
      <c r="E347">
        <v>71</v>
      </c>
      <c r="F347">
        <v>29</v>
      </c>
      <c r="G347">
        <v>2021</v>
      </c>
      <c r="H347">
        <v>564937</v>
      </c>
      <c r="I347" t="s">
        <v>48</v>
      </c>
      <c r="J347" t="s">
        <v>58</v>
      </c>
    </row>
    <row r="348" spans="1:10" x14ac:dyDescent="0.45">
      <c r="A348">
        <v>347</v>
      </c>
      <c r="B348" t="s">
        <v>18</v>
      </c>
      <c r="C348" t="s">
        <v>38</v>
      </c>
      <c r="D348">
        <v>2482</v>
      </c>
      <c r="E348">
        <v>57</v>
      </c>
      <c r="F348">
        <v>43</v>
      </c>
      <c r="G348">
        <v>2021</v>
      </c>
      <c r="H348">
        <v>423377</v>
      </c>
      <c r="I348" t="s">
        <v>48</v>
      </c>
      <c r="J348" t="s">
        <v>53</v>
      </c>
    </row>
    <row r="349" spans="1:10" x14ac:dyDescent="0.45">
      <c r="A349">
        <v>348</v>
      </c>
      <c r="B349" t="s">
        <v>21</v>
      </c>
      <c r="C349" t="s">
        <v>41</v>
      </c>
      <c r="D349">
        <v>436</v>
      </c>
      <c r="E349">
        <v>70</v>
      </c>
      <c r="F349">
        <v>30</v>
      </c>
      <c r="G349">
        <v>2022</v>
      </c>
      <c r="H349">
        <v>559410</v>
      </c>
      <c r="I349" t="s">
        <v>48</v>
      </c>
      <c r="J349" t="s">
        <v>57</v>
      </c>
    </row>
    <row r="350" spans="1:10" x14ac:dyDescent="0.45">
      <c r="A350">
        <v>349</v>
      </c>
      <c r="B350" t="s">
        <v>29</v>
      </c>
      <c r="C350" t="s">
        <v>47</v>
      </c>
      <c r="D350">
        <v>645</v>
      </c>
      <c r="E350">
        <v>84</v>
      </c>
      <c r="F350">
        <v>16</v>
      </c>
      <c r="G350">
        <v>2021</v>
      </c>
      <c r="H350">
        <v>183754</v>
      </c>
      <c r="I350" t="s">
        <v>48</v>
      </c>
      <c r="J350" t="s">
        <v>61</v>
      </c>
    </row>
    <row r="351" spans="1:10" x14ac:dyDescent="0.45">
      <c r="A351">
        <v>350</v>
      </c>
      <c r="B351" t="s">
        <v>26</v>
      </c>
      <c r="C351" t="s">
        <v>46</v>
      </c>
      <c r="D351">
        <v>2399</v>
      </c>
      <c r="E351">
        <v>85</v>
      </c>
      <c r="F351">
        <v>15</v>
      </c>
      <c r="G351">
        <v>2022</v>
      </c>
      <c r="H351">
        <v>207991</v>
      </c>
      <c r="I351" t="s">
        <v>48</v>
      </c>
      <c r="J351" t="s">
        <v>56</v>
      </c>
    </row>
    <row r="352" spans="1:10" x14ac:dyDescent="0.45">
      <c r="A352">
        <v>351</v>
      </c>
      <c r="B352" t="s">
        <v>26</v>
      </c>
      <c r="C352" t="s">
        <v>46</v>
      </c>
      <c r="D352">
        <v>4802</v>
      </c>
      <c r="E352">
        <v>51</v>
      </c>
      <c r="F352">
        <v>49</v>
      </c>
      <c r="G352">
        <v>2025</v>
      </c>
      <c r="H352">
        <v>430789</v>
      </c>
      <c r="I352" t="s">
        <v>48</v>
      </c>
      <c r="J352" t="s">
        <v>61</v>
      </c>
    </row>
    <row r="353" spans="1:10" x14ac:dyDescent="0.45">
      <c r="A353">
        <v>352</v>
      </c>
      <c r="B353" t="s">
        <v>15</v>
      </c>
      <c r="C353" t="s">
        <v>35</v>
      </c>
      <c r="D353">
        <v>3623</v>
      </c>
      <c r="E353">
        <v>49</v>
      </c>
      <c r="F353">
        <v>51</v>
      </c>
      <c r="G353">
        <v>2024</v>
      </c>
      <c r="H353">
        <v>209703</v>
      </c>
      <c r="I353" t="s">
        <v>49</v>
      </c>
      <c r="J353" t="s">
        <v>61</v>
      </c>
    </row>
    <row r="354" spans="1:10" x14ac:dyDescent="0.45">
      <c r="A354">
        <v>353</v>
      </c>
      <c r="B354" t="s">
        <v>28</v>
      </c>
      <c r="C354" t="s">
        <v>43</v>
      </c>
      <c r="D354">
        <v>448</v>
      </c>
      <c r="E354">
        <v>46</v>
      </c>
      <c r="F354">
        <v>54</v>
      </c>
      <c r="G354">
        <v>2023</v>
      </c>
      <c r="H354">
        <v>185251</v>
      </c>
      <c r="I354" t="s">
        <v>49</v>
      </c>
      <c r="J354" t="s">
        <v>63</v>
      </c>
    </row>
    <row r="355" spans="1:10" x14ac:dyDescent="0.45">
      <c r="A355">
        <v>354</v>
      </c>
      <c r="B355" t="s">
        <v>20</v>
      </c>
      <c r="C355" t="s">
        <v>40</v>
      </c>
      <c r="D355">
        <v>2332</v>
      </c>
      <c r="E355">
        <v>47</v>
      </c>
      <c r="F355">
        <v>53</v>
      </c>
      <c r="G355">
        <v>2022</v>
      </c>
      <c r="H355">
        <v>201545</v>
      </c>
      <c r="I355" t="s">
        <v>49</v>
      </c>
      <c r="J355" t="s">
        <v>64</v>
      </c>
    </row>
    <row r="356" spans="1:10" x14ac:dyDescent="0.45">
      <c r="A356">
        <v>355</v>
      </c>
      <c r="B356" t="s">
        <v>24</v>
      </c>
      <c r="C356" t="s">
        <v>44</v>
      </c>
      <c r="D356">
        <v>4471</v>
      </c>
      <c r="E356">
        <v>81</v>
      </c>
      <c r="F356">
        <v>19</v>
      </c>
      <c r="G356">
        <v>2024</v>
      </c>
      <c r="H356">
        <v>420597</v>
      </c>
      <c r="I356" t="s">
        <v>48</v>
      </c>
      <c r="J356" t="s">
        <v>54</v>
      </c>
    </row>
    <row r="357" spans="1:10" x14ac:dyDescent="0.45">
      <c r="A357">
        <v>356</v>
      </c>
      <c r="B357" t="s">
        <v>27</v>
      </c>
      <c r="C357" t="s">
        <v>36</v>
      </c>
      <c r="D357">
        <v>3623</v>
      </c>
      <c r="E357">
        <v>48</v>
      </c>
      <c r="F357">
        <v>52</v>
      </c>
      <c r="G357">
        <v>2021</v>
      </c>
      <c r="H357">
        <v>487918</v>
      </c>
      <c r="I357" t="s">
        <v>49</v>
      </c>
      <c r="J357" t="s">
        <v>61</v>
      </c>
    </row>
    <row r="358" spans="1:10" x14ac:dyDescent="0.45">
      <c r="A358">
        <v>357</v>
      </c>
      <c r="B358" t="s">
        <v>12</v>
      </c>
      <c r="C358" t="s">
        <v>32</v>
      </c>
      <c r="D358">
        <v>863</v>
      </c>
      <c r="E358">
        <v>78</v>
      </c>
      <c r="F358">
        <v>22</v>
      </c>
      <c r="G358">
        <v>2023</v>
      </c>
      <c r="H358">
        <v>450364</v>
      </c>
      <c r="I358" t="s">
        <v>48</v>
      </c>
      <c r="J358" t="s">
        <v>53</v>
      </c>
    </row>
    <row r="359" spans="1:10" x14ac:dyDescent="0.45">
      <c r="A359">
        <v>358</v>
      </c>
      <c r="B359" t="s">
        <v>20</v>
      </c>
      <c r="C359" t="s">
        <v>40</v>
      </c>
      <c r="D359">
        <v>1422</v>
      </c>
      <c r="E359">
        <v>46</v>
      </c>
      <c r="F359">
        <v>54</v>
      </c>
      <c r="G359">
        <v>2023</v>
      </c>
      <c r="H359">
        <v>597961</v>
      </c>
      <c r="I359" t="s">
        <v>49</v>
      </c>
      <c r="J359" t="s">
        <v>58</v>
      </c>
    </row>
    <row r="360" spans="1:10" x14ac:dyDescent="0.45">
      <c r="A360">
        <v>359</v>
      </c>
      <c r="B360" t="s">
        <v>22</v>
      </c>
      <c r="C360" t="s">
        <v>42</v>
      </c>
      <c r="D360">
        <v>1979</v>
      </c>
      <c r="E360">
        <v>47</v>
      </c>
      <c r="F360">
        <v>53</v>
      </c>
      <c r="G360">
        <v>2022</v>
      </c>
      <c r="H360">
        <v>471653</v>
      </c>
      <c r="I360" t="s">
        <v>49</v>
      </c>
      <c r="J360" t="s">
        <v>53</v>
      </c>
    </row>
    <row r="361" spans="1:10" x14ac:dyDescent="0.45">
      <c r="A361">
        <v>360</v>
      </c>
      <c r="B361" t="s">
        <v>11</v>
      </c>
      <c r="C361" t="s">
        <v>31</v>
      </c>
      <c r="D361">
        <v>2760</v>
      </c>
      <c r="E361">
        <v>78</v>
      </c>
      <c r="F361">
        <v>22</v>
      </c>
      <c r="G361">
        <v>2022</v>
      </c>
      <c r="H361">
        <v>478515</v>
      </c>
      <c r="I361" t="s">
        <v>48</v>
      </c>
      <c r="J361" t="s">
        <v>51</v>
      </c>
    </row>
    <row r="362" spans="1:10" x14ac:dyDescent="0.45">
      <c r="A362">
        <v>361</v>
      </c>
      <c r="B362" t="s">
        <v>14</v>
      </c>
      <c r="C362" t="s">
        <v>34</v>
      </c>
      <c r="D362">
        <v>3917</v>
      </c>
      <c r="E362">
        <v>73</v>
      </c>
      <c r="F362">
        <v>27</v>
      </c>
      <c r="G362">
        <v>2023</v>
      </c>
      <c r="H362">
        <v>456733</v>
      </c>
      <c r="I362" t="s">
        <v>48</v>
      </c>
      <c r="J362" t="s">
        <v>53</v>
      </c>
    </row>
    <row r="363" spans="1:10" x14ac:dyDescent="0.45">
      <c r="A363">
        <v>362</v>
      </c>
      <c r="B363" t="s">
        <v>24</v>
      </c>
      <c r="C363" t="s">
        <v>44</v>
      </c>
      <c r="D363">
        <v>280</v>
      </c>
      <c r="E363">
        <v>58</v>
      </c>
      <c r="F363">
        <v>42</v>
      </c>
      <c r="G363">
        <v>2023</v>
      </c>
      <c r="H363">
        <v>301826</v>
      </c>
      <c r="I363" t="s">
        <v>48</v>
      </c>
      <c r="J363" t="s">
        <v>64</v>
      </c>
    </row>
    <row r="364" spans="1:10" x14ac:dyDescent="0.45">
      <c r="A364">
        <v>363</v>
      </c>
      <c r="B364" t="s">
        <v>26</v>
      </c>
      <c r="C364" t="s">
        <v>46</v>
      </c>
      <c r="D364">
        <v>1643</v>
      </c>
      <c r="E364">
        <v>55</v>
      </c>
      <c r="F364">
        <v>45</v>
      </c>
      <c r="G364">
        <v>2025</v>
      </c>
      <c r="H364">
        <v>560583</v>
      </c>
      <c r="I364" t="s">
        <v>48</v>
      </c>
      <c r="J364" t="s">
        <v>64</v>
      </c>
    </row>
    <row r="365" spans="1:10" x14ac:dyDescent="0.45">
      <c r="A365">
        <v>364</v>
      </c>
      <c r="B365" t="s">
        <v>14</v>
      </c>
      <c r="C365" t="s">
        <v>34</v>
      </c>
      <c r="D365">
        <v>2024</v>
      </c>
      <c r="E365">
        <v>77</v>
      </c>
      <c r="F365">
        <v>23</v>
      </c>
      <c r="G365">
        <v>2025</v>
      </c>
      <c r="H365">
        <v>197152</v>
      </c>
      <c r="I365" t="s">
        <v>48</v>
      </c>
      <c r="J365" t="s">
        <v>64</v>
      </c>
    </row>
    <row r="366" spans="1:10" x14ac:dyDescent="0.45">
      <c r="A366">
        <v>365</v>
      </c>
      <c r="B366" t="s">
        <v>22</v>
      </c>
      <c r="C366" t="s">
        <v>42</v>
      </c>
      <c r="D366">
        <v>3558</v>
      </c>
      <c r="E366">
        <v>74</v>
      </c>
      <c r="F366">
        <v>26</v>
      </c>
      <c r="G366">
        <v>2021</v>
      </c>
      <c r="H366">
        <v>580115</v>
      </c>
      <c r="I366" t="s">
        <v>48</v>
      </c>
      <c r="J366" t="s">
        <v>63</v>
      </c>
    </row>
    <row r="367" spans="1:10" x14ac:dyDescent="0.45">
      <c r="A367">
        <v>366</v>
      </c>
      <c r="B367" t="s">
        <v>12</v>
      </c>
      <c r="C367" t="s">
        <v>32</v>
      </c>
      <c r="D367">
        <v>425</v>
      </c>
      <c r="E367">
        <v>62</v>
      </c>
      <c r="F367">
        <v>38</v>
      </c>
      <c r="G367">
        <v>2022</v>
      </c>
      <c r="H367">
        <v>384694</v>
      </c>
      <c r="I367" t="s">
        <v>48</v>
      </c>
      <c r="J367" t="s">
        <v>51</v>
      </c>
    </row>
    <row r="368" spans="1:10" x14ac:dyDescent="0.45">
      <c r="A368">
        <v>367</v>
      </c>
      <c r="B368" t="s">
        <v>16</v>
      </c>
      <c r="C368" t="s">
        <v>36</v>
      </c>
      <c r="D368">
        <v>760</v>
      </c>
      <c r="E368">
        <v>75</v>
      </c>
      <c r="F368">
        <v>25</v>
      </c>
      <c r="G368">
        <v>2021</v>
      </c>
      <c r="H368">
        <v>437081</v>
      </c>
      <c r="I368" t="s">
        <v>48</v>
      </c>
      <c r="J368" t="s">
        <v>59</v>
      </c>
    </row>
    <row r="369" spans="1:10" x14ac:dyDescent="0.45">
      <c r="A369">
        <v>368</v>
      </c>
      <c r="B369" t="s">
        <v>14</v>
      </c>
      <c r="C369" t="s">
        <v>34</v>
      </c>
      <c r="D369">
        <v>3466</v>
      </c>
      <c r="E369">
        <v>81</v>
      </c>
      <c r="F369">
        <v>19</v>
      </c>
      <c r="G369">
        <v>2025</v>
      </c>
      <c r="H369">
        <v>402651</v>
      </c>
      <c r="I369" t="s">
        <v>48</v>
      </c>
      <c r="J369" t="s">
        <v>63</v>
      </c>
    </row>
    <row r="370" spans="1:10" x14ac:dyDescent="0.45">
      <c r="A370">
        <v>369</v>
      </c>
      <c r="B370" t="s">
        <v>12</v>
      </c>
      <c r="C370" t="s">
        <v>32</v>
      </c>
      <c r="D370">
        <v>4261</v>
      </c>
      <c r="E370">
        <v>42</v>
      </c>
      <c r="F370">
        <v>58</v>
      </c>
      <c r="G370">
        <v>2025</v>
      </c>
      <c r="H370">
        <v>458543</v>
      </c>
      <c r="I370" t="s">
        <v>49</v>
      </c>
      <c r="J370" t="s">
        <v>56</v>
      </c>
    </row>
    <row r="371" spans="1:10" x14ac:dyDescent="0.45">
      <c r="A371">
        <v>370</v>
      </c>
      <c r="B371" t="s">
        <v>14</v>
      </c>
      <c r="C371" t="s">
        <v>34</v>
      </c>
      <c r="D371">
        <v>1518</v>
      </c>
      <c r="E371">
        <v>52</v>
      </c>
      <c r="F371">
        <v>48</v>
      </c>
      <c r="G371">
        <v>2024</v>
      </c>
      <c r="H371">
        <v>287877</v>
      </c>
      <c r="I371" t="s">
        <v>48</v>
      </c>
      <c r="J371" t="s">
        <v>64</v>
      </c>
    </row>
    <row r="372" spans="1:10" x14ac:dyDescent="0.45">
      <c r="A372">
        <v>371</v>
      </c>
      <c r="B372" t="s">
        <v>26</v>
      </c>
      <c r="C372" t="s">
        <v>46</v>
      </c>
      <c r="D372">
        <v>1850</v>
      </c>
      <c r="E372">
        <v>66</v>
      </c>
      <c r="F372">
        <v>34</v>
      </c>
      <c r="G372">
        <v>2024</v>
      </c>
      <c r="H372">
        <v>416480</v>
      </c>
      <c r="I372" t="s">
        <v>48</v>
      </c>
      <c r="J372" t="s">
        <v>54</v>
      </c>
    </row>
    <row r="373" spans="1:10" x14ac:dyDescent="0.45">
      <c r="A373">
        <v>372</v>
      </c>
      <c r="B373" t="s">
        <v>26</v>
      </c>
      <c r="C373" t="s">
        <v>46</v>
      </c>
      <c r="D373">
        <v>1055</v>
      </c>
      <c r="E373">
        <v>81</v>
      </c>
      <c r="F373">
        <v>19</v>
      </c>
      <c r="G373">
        <v>2023</v>
      </c>
      <c r="H373">
        <v>203925</v>
      </c>
      <c r="I373" t="s">
        <v>48</v>
      </c>
      <c r="J373" t="s">
        <v>63</v>
      </c>
    </row>
    <row r="374" spans="1:10" x14ac:dyDescent="0.45">
      <c r="A374">
        <v>373</v>
      </c>
      <c r="B374" t="s">
        <v>25</v>
      </c>
      <c r="C374" t="s">
        <v>45</v>
      </c>
      <c r="D374">
        <v>211</v>
      </c>
      <c r="E374">
        <v>74</v>
      </c>
      <c r="F374">
        <v>26</v>
      </c>
      <c r="G374">
        <v>2023</v>
      </c>
      <c r="H374">
        <v>248378</v>
      </c>
      <c r="I374" t="s">
        <v>48</v>
      </c>
      <c r="J374" t="s">
        <v>64</v>
      </c>
    </row>
    <row r="375" spans="1:10" x14ac:dyDescent="0.45">
      <c r="A375">
        <v>374</v>
      </c>
      <c r="B375" t="s">
        <v>16</v>
      </c>
      <c r="C375" t="s">
        <v>36</v>
      </c>
      <c r="D375">
        <v>1413</v>
      </c>
      <c r="E375">
        <v>71</v>
      </c>
      <c r="F375">
        <v>29</v>
      </c>
      <c r="G375">
        <v>2020</v>
      </c>
      <c r="H375">
        <v>403128</v>
      </c>
      <c r="I375" t="s">
        <v>48</v>
      </c>
      <c r="J375" t="s">
        <v>61</v>
      </c>
    </row>
    <row r="376" spans="1:10" x14ac:dyDescent="0.45">
      <c r="A376">
        <v>375</v>
      </c>
      <c r="B376" t="s">
        <v>14</v>
      </c>
      <c r="C376" t="s">
        <v>34</v>
      </c>
      <c r="D376">
        <v>1297</v>
      </c>
      <c r="E376">
        <v>57</v>
      </c>
      <c r="F376">
        <v>43</v>
      </c>
      <c r="G376">
        <v>2021</v>
      </c>
      <c r="H376">
        <v>429569</v>
      </c>
      <c r="I376" t="s">
        <v>48</v>
      </c>
      <c r="J376" t="s">
        <v>51</v>
      </c>
    </row>
    <row r="377" spans="1:10" x14ac:dyDescent="0.45">
      <c r="A377">
        <v>376</v>
      </c>
      <c r="B377" t="s">
        <v>18</v>
      </c>
      <c r="C377" t="s">
        <v>38</v>
      </c>
      <c r="D377">
        <v>2459</v>
      </c>
      <c r="E377">
        <v>66</v>
      </c>
      <c r="F377">
        <v>34</v>
      </c>
      <c r="G377">
        <v>2023</v>
      </c>
      <c r="H377">
        <v>479344</v>
      </c>
      <c r="I377" t="s">
        <v>48</v>
      </c>
      <c r="J377" t="s">
        <v>62</v>
      </c>
    </row>
    <row r="378" spans="1:10" x14ac:dyDescent="0.45">
      <c r="A378">
        <v>377</v>
      </c>
      <c r="B378" t="s">
        <v>21</v>
      </c>
      <c r="C378" t="s">
        <v>41</v>
      </c>
      <c r="D378">
        <v>4334</v>
      </c>
      <c r="E378">
        <v>45</v>
      </c>
      <c r="F378">
        <v>55</v>
      </c>
      <c r="G378">
        <v>2022</v>
      </c>
      <c r="H378">
        <v>253026</v>
      </c>
      <c r="I378" t="s">
        <v>49</v>
      </c>
      <c r="J378" t="s">
        <v>52</v>
      </c>
    </row>
    <row r="379" spans="1:10" x14ac:dyDescent="0.45">
      <c r="A379">
        <v>378</v>
      </c>
      <c r="B379" t="s">
        <v>12</v>
      </c>
      <c r="C379" t="s">
        <v>32</v>
      </c>
      <c r="D379">
        <v>1815</v>
      </c>
      <c r="E379">
        <v>59</v>
      </c>
      <c r="F379">
        <v>41</v>
      </c>
      <c r="G379">
        <v>2023</v>
      </c>
      <c r="H379">
        <v>287648</v>
      </c>
      <c r="I379" t="s">
        <v>48</v>
      </c>
      <c r="J379" t="s">
        <v>55</v>
      </c>
    </row>
    <row r="380" spans="1:10" x14ac:dyDescent="0.45">
      <c r="A380">
        <v>379</v>
      </c>
      <c r="B380" t="s">
        <v>17</v>
      </c>
      <c r="C380" t="s">
        <v>37</v>
      </c>
      <c r="D380">
        <v>2137</v>
      </c>
      <c r="E380">
        <v>63</v>
      </c>
      <c r="F380">
        <v>37</v>
      </c>
      <c r="G380">
        <v>2025</v>
      </c>
      <c r="H380">
        <v>433827</v>
      </c>
      <c r="I380" t="s">
        <v>48</v>
      </c>
      <c r="J380" t="s">
        <v>50</v>
      </c>
    </row>
    <row r="381" spans="1:10" x14ac:dyDescent="0.45">
      <c r="A381">
        <v>380</v>
      </c>
      <c r="B381" t="s">
        <v>21</v>
      </c>
      <c r="C381" t="s">
        <v>41</v>
      </c>
      <c r="D381">
        <v>752</v>
      </c>
      <c r="E381">
        <v>50</v>
      </c>
      <c r="F381">
        <v>50</v>
      </c>
      <c r="G381">
        <v>2020</v>
      </c>
      <c r="H381">
        <v>529766</v>
      </c>
      <c r="I381" t="s">
        <v>49</v>
      </c>
      <c r="J381" t="s">
        <v>53</v>
      </c>
    </row>
    <row r="382" spans="1:10" x14ac:dyDescent="0.45">
      <c r="A382">
        <v>381</v>
      </c>
      <c r="B382" t="s">
        <v>14</v>
      </c>
      <c r="C382" t="s">
        <v>34</v>
      </c>
      <c r="D382">
        <v>1225</v>
      </c>
      <c r="E382">
        <v>80</v>
      </c>
      <c r="F382">
        <v>20</v>
      </c>
      <c r="G382">
        <v>2020</v>
      </c>
      <c r="H382">
        <v>351900</v>
      </c>
      <c r="I382" t="s">
        <v>48</v>
      </c>
      <c r="J382" t="s">
        <v>59</v>
      </c>
    </row>
    <row r="383" spans="1:10" x14ac:dyDescent="0.45">
      <c r="A383">
        <v>382</v>
      </c>
      <c r="B383" t="s">
        <v>18</v>
      </c>
      <c r="C383" t="s">
        <v>38</v>
      </c>
      <c r="D383">
        <v>345</v>
      </c>
      <c r="E383">
        <v>79</v>
      </c>
      <c r="F383">
        <v>21</v>
      </c>
      <c r="G383">
        <v>2020</v>
      </c>
      <c r="H383">
        <v>372997</v>
      </c>
      <c r="I383" t="s">
        <v>48</v>
      </c>
      <c r="J383" t="s">
        <v>58</v>
      </c>
    </row>
    <row r="384" spans="1:10" x14ac:dyDescent="0.45">
      <c r="A384">
        <v>383</v>
      </c>
      <c r="B384" t="s">
        <v>13</v>
      </c>
      <c r="C384" t="s">
        <v>33</v>
      </c>
      <c r="D384">
        <v>4368</v>
      </c>
      <c r="E384">
        <v>76</v>
      </c>
      <c r="F384">
        <v>24</v>
      </c>
      <c r="G384">
        <v>2021</v>
      </c>
      <c r="H384">
        <v>267299</v>
      </c>
      <c r="I384" t="s">
        <v>48</v>
      </c>
      <c r="J384" t="s">
        <v>57</v>
      </c>
    </row>
    <row r="385" spans="1:10" x14ac:dyDescent="0.45">
      <c r="A385">
        <v>384</v>
      </c>
      <c r="B385" t="s">
        <v>26</v>
      </c>
      <c r="C385" t="s">
        <v>46</v>
      </c>
      <c r="D385">
        <v>2058</v>
      </c>
      <c r="E385">
        <v>42</v>
      </c>
      <c r="F385">
        <v>58</v>
      </c>
      <c r="G385">
        <v>2024</v>
      </c>
      <c r="H385">
        <v>537424</v>
      </c>
      <c r="I385" t="s">
        <v>49</v>
      </c>
      <c r="J385" t="s">
        <v>57</v>
      </c>
    </row>
    <row r="386" spans="1:10" x14ac:dyDescent="0.45">
      <c r="A386">
        <v>385</v>
      </c>
      <c r="B386" t="s">
        <v>23</v>
      </c>
      <c r="C386" t="s">
        <v>43</v>
      </c>
      <c r="D386">
        <v>4128</v>
      </c>
      <c r="E386">
        <v>53</v>
      </c>
      <c r="F386">
        <v>47</v>
      </c>
      <c r="G386">
        <v>2023</v>
      </c>
      <c r="H386">
        <v>446674</v>
      </c>
      <c r="I386" t="s">
        <v>48</v>
      </c>
      <c r="J386" t="s">
        <v>55</v>
      </c>
    </row>
    <row r="387" spans="1:10" x14ac:dyDescent="0.45">
      <c r="A387">
        <v>386</v>
      </c>
      <c r="B387" t="s">
        <v>16</v>
      </c>
      <c r="C387" t="s">
        <v>36</v>
      </c>
      <c r="D387">
        <v>4679</v>
      </c>
      <c r="E387">
        <v>85</v>
      </c>
      <c r="F387">
        <v>15</v>
      </c>
      <c r="G387">
        <v>2024</v>
      </c>
      <c r="H387">
        <v>452833</v>
      </c>
      <c r="I387" t="s">
        <v>48</v>
      </c>
      <c r="J387" t="s">
        <v>62</v>
      </c>
    </row>
    <row r="388" spans="1:10" x14ac:dyDescent="0.45">
      <c r="A388">
        <v>387</v>
      </c>
      <c r="B388" t="s">
        <v>18</v>
      </c>
      <c r="C388" t="s">
        <v>38</v>
      </c>
      <c r="D388">
        <v>3978</v>
      </c>
      <c r="E388">
        <v>47</v>
      </c>
      <c r="F388">
        <v>53</v>
      </c>
      <c r="G388">
        <v>2025</v>
      </c>
      <c r="H388">
        <v>492805</v>
      </c>
      <c r="I388" t="s">
        <v>49</v>
      </c>
      <c r="J388" t="s">
        <v>60</v>
      </c>
    </row>
    <row r="389" spans="1:10" x14ac:dyDescent="0.45">
      <c r="A389">
        <v>388</v>
      </c>
      <c r="B389" t="s">
        <v>28</v>
      </c>
      <c r="C389" t="s">
        <v>43</v>
      </c>
      <c r="D389">
        <v>1176</v>
      </c>
      <c r="E389">
        <v>85</v>
      </c>
      <c r="F389">
        <v>15</v>
      </c>
      <c r="G389">
        <v>2022</v>
      </c>
      <c r="H389">
        <v>497219</v>
      </c>
      <c r="I389" t="s">
        <v>48</v>
      </c>
      <c r="J389" t="s">
        <v>51</v>
      </c>
    </row>
    <row r="390" spans="1:10" x14ac:dyDescent="0.45">
      <c r="A390">
        <v>389</v>
      </c>
      <c r="B390" t="s">
        <v>11</v>
      </c>
      <c r="C390" t="s">
        <v>31</v>
      </c>
      <c r="D390">
        <v>1024</v>
      </c>
      <c r="E390">
        <v>45</v>
      </c>
      <c r="F390">
        <v>55</v>
      </c>
      <c r="G390">
        <v>2022</v>
      </c>
      <c r="H390">
        <v>358027</v>
      </c>
      <c r="I390" t="s">
        <v>49</v>
      </c>
      <c r="J390" t="s">
        <v>52</v>
      </c>
    </row>
    <row r="391" spans="1:10" x14ac:dyDescent="0.45">
      <c r="A391">
        <v>390</v>
      </c>
      <c r="B391" t="s">
        <v>12</v>
      </c>
      <c r="C391" t="s">
        <v>32</v>
      </c>
      <c r="D391">
        <v>4321</v>
      </c>
      <c r="E391">
        <v>67</v>
      </c>
      <c r="F391">
        <v>33</v>
      </c>
      <c r="G391">
        <v>2022</v>
      </c>
      <c r="H391">
        <v>342845</v>
      </c>
      <c r="I391" t="s">
        <v>48</v>
      </c>
      <c r="J391" t="s">
        <v>55</v>
      </c>
    </row>
    <row r="392" spans="1:10" x14ac:dyDescent="0.45">
      <c r="A392">
        <v>391</v>
      </c>
      <c r="B392" t="s">
        <v>22</v>
      </c>
      <c r="C392" t="s">
        <v>42</v>
      </c>
      <c r="D392">
        <v>2936</v>
      </c>
      <c r="E392">
        <v>52</v>
      </c>
      <c r="F392">
        <v>48</v>
      </c>
      <c r="G392">
        <v>2023</v>
      </c>
      <c r="H392">
        <v>366067</v>
      </c>
      <c r="I392" t="s">
        <v>48</v>
      </c>
      <c r="J392" t="s">
        <v>54</v>
      </c>
    </row>
    <row r="393" spans="1:10" x14ac:dyDescent="0.45">
      <c r="A393">
        <v>392</v>
      </c>
      <c r="B393" t="s">
        <v>13</v>
      </c>
      <c r="C393" t="s">
        <v>33</v>
      </c>
      <c r="D393">
        <v>3206</v>
      </c>
      <c r="E393">
        <v>65</v>
      </c>
      <c r="F393">
        <v>35</v>
      </c>
      <c r="G393">
        <v>2025</v>
      </c>
      <c r="H393">
        <v>448994</v>
      </c>
      <c r="I393" t="s">
        <v>48</v>
      </c>
      <c r="J393" t="s">
        <v>61</v>
      </c>
    </row>
    <row r="394" spans="1:10" x14ac:dyDescent="0.45">
      <c r="A394">
        <v>393</v>
      </c>
      <c r="B394" t="s">
        <v>12</v>
      </c>
      <c r="C394" t="s">
        <v>32</v>
      </c>
      <c r="D394">
        <v>4803</v>
      </c>
      <c r="E394">
        <v>67</v>
      </c>
      <c r="F394">
        <v>33</v>
      </c>
      <c r="G394">
        <v>2020</v>
      </c>
      <c r="H394">
        <v>359274</v>
      </c>
      <c r="I394" t="s">
        <v>48</v>
      </c>
      <c r="J394" t="s">
        <v>52</v>
      </c>
    </row>
    <row r="395" spans="1:10" x14ac:dyDescent="0.45">
      <c r="A395">
        <v>394</v>
      </c>
      <c r="B395" t="s">
        <v>17</v>
      </c>
      <c r="C395" t="s">
        <v>37</v>
      </c>
      <c r="D395">
        <v>4252</v>
      </c>
      <c r="E395">
        <v>77</v>
      </c>
      <c r="F395">
        <v>23</v>
      </c>
      <c r="G395">
        <v>2025</v>
      </c>
      <c r="H395">
        <v>285486</v>
      </c>
      <c r="I395" t="s">
        <v>48</v>
      </c>
      <c r="J395" t="s">
        <v>64</v>
      </c>
    </row>
    <row r="396" spans="1:10" x14ac:dyDescent="0.45">
      <c r="A396">
        <v>395</v>
      </c>
      <c r="B396" t="s">
        <v>26</v>
      </c>
      <c r="C396" t="s">
        <v>46</v>
      </c>
      <c r="D396">
        <v>1479</v>
      </c>
      <c r="E396">
        <v>66</v>
      </c>
      <c r="F396">
        <v>34</v>
      </c>
      <c r="G396">
        <v>2024</v>
      </c>
      <c r="H396">
        <v>373983</v>
      </c>
      <c r="I396" t="s">
        <v>48</v>
      </c>
      <c r="J396" t="s">
        <v>53</v>
      </c>
    </row>
    <row r="397" spans="1:10" x14ac:dyDescent="0.45">
      <c r="A397">
        <v>396</v>
      </c>
      <c r="B397" t="s">
        <v>10</v>
      </c>
      <c r="C397" t="s">
        <v>30</v>
      </c>
      <c r="D397">
        <v>1674</v>
      </c>
      <c r="E397">
        <v>85</v>
      </c>
      <c r="F397">
        <v>15</v>
      </c>
      <c r="G397">
        <v>2025</v>
      </c>
      <c r="H397">
        <v>562759</v>
      </c>
      <c r="I397" t="s">
        <v>48</v>
      </c>
      <c r="J397" t="s">
        <v>53</v>
      </c>
    </row>
    <row r="398" spans="1:10" x14ac:dyDescent="0.45">
      <c r="A398">
        <v>397</v>
      </c>
      <c r="B398" t="s">
        <v>12</v>
      </c>
      <c r="C398" t="s">
        <v>32</v>
      </c>
      <c r="D398">
        <v>1542</v>
      </c>
      <c r="E398">
        <v>69</v>
      </c>
      <c r="F398">
        <v>31</v>
      </c>
      <c r="G398">
        <v>2022</v>
      </c>
      <c r="H398">
        <v>530219</v>
      </c>
      <c r="I398" t="s">
        <v>48</v>
      </c>
      <c r="J398" t="s">
        <v>59</v>
      </c>
    </row>
    <row r="399" spans="1:10" x14ac:dyDescent="0.45">
      <c r="A399">
        <v>398</v>
      </c>
      <c r="B399" t="s">
        <v>27</v>
      </c>
      <c r="C399" t="s">
        <v>36</v>
      </c>
      <c r="D399">
        <v>4502</v>
      </c>
      <c r="E399">
        <v>83</v>
      </c>
      <c r="F399">
        <v>17</v>
      </c>
      <c r="G399">
        <v>2025</v>
      </c>
      <c r="H399">
        <v>274692</v>
      </c>
      <c r="I399" t="s">
        <v>48</v>
      </c>
      <c r="J399" t="s">
        <v>54</v>
      </c>
    </row>
    <row r="400" spans="1:10" x14ac:dyDescent="0.45">
      <c r="A400">
        <v>399</v>
      </c>
      <c r="B400" t="s">
        <v>27</v>
      </c>
      <c r="C400" t="s">
        <v>36</v>
      </c>
      <c r="D400">
        <v>448</v>
      </c>
      <c r="E400">
        <v>80</v>
      </c>
      <c r="F400">
        <v>20</v>
      </c>
      <c r="G400">
        <v>2024</v>
      </c>
      <c r="H400">
        <v>227185</v>
      </c>
      <c r="I400" t="s">
        <v>48</v>
      </c>
      <c r="J400" t="s">
        <v>63</v>
      </c>
    </row>
    <row r="401" spans="1:10" x14ac:dyDescent="0.45">
      <c r="A401">
        <v>400</v>
      </c>
      <c r="B401" t="s">
        <v>11</v>
      </c>
      <c r="C401" t="s">
        <v>31</v>
      </c>
      <c r="D401">
        <v>4575</v>
      </c>
      <c r="E401">
        <v>47</v>
      </c>
      <c r="F401">
        <v>53</v>
      </c>
      <c r="G401">
        <v>2020</v>
      </c>
      <c r="H401">
        <v>241960</v>
      </c>
      <c r="I401" t="s">
        <v>49</v>
      </c>
      <c r="J401" t="s">
        <v>63</v>
      </c>
    </row>
    <row r="402" spans="1:10" x14ac:dyDescent="0.45">
      <c r="A402">
        <v>401</v>
      </c>
      <c r="B402" t="s">
        <v>29</v>
      </c>
      <c r="C402" t="s">
        <v>47</v>
      </c>
      <c r="D402">
        <v>3711</v>
      </c>
      <c r="E402">
        <v>42</v>
      </c>
      <c r="F402">
        <v>58</v>
      </c>
      <c r="G402">
        <v>2025</v>
      </c>
      <c r="H402">
        <v>547649</v>
      </c>
      <c r="I402" t="s">
        <v>49</v>
      </c>
      <c r="J402" t="s">
        <v>53</v>
      </c>
    </row>
    <row r="403" spans="1:10" x14ac:dyDescent="0.45">
      <c r="A403">
        <v>402</v>
      </c>
      <c r="B403" t="s">
        <v>13</v>
      </c>
      <c r="C403" t="s">
        <v>33</v>
      </c>
      <c r="D403">
        <v>1425</v>
      </c>
      <c r="E403">
        <v>63</v>
      </c>
      <c r="F403">
        <v>37</v>
      </c>
      <c r="G403">
        <v>2022</v>
      </c>
      <c r="H403">
        <v>316244</v>
      </c>
      <c r="I403" t="s">
        <v>48</v>
      </c>
      <c r="J403" t="s">
        <v>50</v>
      </c>
    </row>
    <row r="404" spans="1:10" x14ac:dyDescent="0.45">
      <c r="A404">
        <v>403</v>
      </c>
      <c r="B404" t="s">
        <v>22</v>
      </c>
      <c r="C404" t="s">
        <v>42</v>
      </c>
      <c r="D404">
        <v>4074</v>
      </c>
      <c r="E404">
        <v>69</v>
      </c>
      <c r="F404">
        <v>31</v>
      </c>
      <c r="G404">
        <v>2020</v>
      </c>
      <c r="H404">
        <v>392933</v>
      </c>
      <c r="I404" t="s">
        <v>48</v>
      </c>
      <c r="J404" t="s">
        <v>62</v>
      </c>
    </row>
    <row r="405" spans="1:10" x14ac:dyDescent="0.45">
      <c r="A405">
        <v>404</v>
      </c>
      <c r="B405" t="s">
        <v>13</v>
      </c>
      <c r="C405" t="s">
        <v>33</v>
      </c>
      <c r="D405">
        <v>778</v>
      </c>
      <c r="E405">
        <v>57</v>
      </c>
      <c r="F405">
        <v>43</v>
      </c>
      <c r="G405">
        <v>2021</v>
      </c>
      <c r="H405">
        <v>488872</v>
      </c>
      <c r="I405" t="s">
        <v>48</v>
      </c>
      <c r="J405" t="s">
        <v>63</v>
      </c>
    </row>
    <row r="406" spans="1:10" x14ac:dyDescent="0.45">
      <c r="A406">
        <v>405</v>
      </c>
      <c r="B406" t="s">
        <v>21</v>
      </c>
      <c r="C406" t="s">
        <v>41</v>
      </c>
      <c r="D406">
        <v>4534</v>
      </c>
      <c r="E406">
        <v>48</v>
      </c>
      <c r="F406">
        <v>52</v>
      </c>
      <c r="G406">
        <v>2022</v>
      </c>
      <c r="H406">
        <v>223319</v>
      </c>
      <c r="I406" t="s">
        <v>49</v>
      </c>
      <c r="J406" t="s">
        <v>52</v>
      </c>
    </row>
    <row r="407" spans="1:10" x14ac:dyDescent="0.45">
      <c r="A407">
        <v>406</v>
      </c>
      <c r="B407" t="s">
        <v>19</v>
      </c>
      <c r="C407" t="s">
        <v>39</v>
      </c>
      <c r="D407">
        <v>4143</v>
      </c>
      <c r="E407">
        <v>48</v>
      </c>
      <c r="F407">
        <v>52</v>
      </c>
      <c r="G407">
        <v>2020</v>
      </c>
      <c r="H407">
        <v>338098</v>
      </c>
      <c r="I407" t="s">
        <v>49</v>
      </c>
      <c r="J407" t="s">
        <v>60</v>
      </c>
    </row>
    <row r="408" spans="1:10" x14ac:dyDescent="0.45">
      <c r="A408">
        <v>407</v>
      </c>
      <c r="B408" t="s">
        <v>28</v>
      </c>
      <c r="C408" t="s">
        <v>43</v>
      </c>
      <c r="D408">
        <v>3610</v>
      </c>
      <c r="E408">
        <v>83</v>
      </c>
      <c r="F408">
        <v>17</v>
      </c>
      <c r="G408">
        <v>2025</v>
      </c>
      <c r="H408">
        <v>311850</v>
      </c>
      <c r="I408" t="s">
        <v>48</v>
      </c>
      <c r="J408" t="s">
        <v>63</v>
      </c>
    </row>
    <row r="409" spans="1:10" x14ac:dyDescent="0.45">
      <c r="A409">
        <v>408</v>
      </c>
      <c r="B409" t="s">
        <v>21</v>
      </c>
      <c r="C409" t="s">
        <v>41</v>
      </c>
      <c r="D409">
        <v>1103</v>
      </c>
      <c r="E409">
        <v>84</v>
      </c>
      <c r="F409">
        <v>16</v>
      </c>
      <c r="G409">
        <v>2020</v>
      </c>
      <c r="H409">
        <v>349606</v>
      </c>
      <c r="I409" t="s">
        <v>48</v>
      </c>
      <c r="J409" t="s">
        <v>59</v>
      </c>
    </row>
    <row r="410" spans="1:10" x14ac:dyDescent="0.45">
      <c r="A410">
        <v>409</v>
      </c>
      <c r="B410" t="s">
        <v>18</v>
      </c>
      <c r="C410" t="s">
        <v>38</v>
      </c>
      <c r="D410">
        <v>3032</v>
      </c>
      <c r="E410">
        <v>84</v>
      </c>
      <c r="F410">
        <v>16</v>
      </c>
      <c r="G410">
        <v>2023</v>
      </c>
      <c r="H410">
        <v>480075</v>
      </c>
      <c r="I410" t="s">
        <v>48</v>
      </c>
      <c r="J410" t="s">
        <v>61</v>
      </c>
    </row>
    <row r="411" spans="1:10" x14ac:dyDescent="0.45">
      <c r="A411">
        <v>410</v>
      </c>
      <c r="B411" t="s">
        <v>14</v>
      </c>
      <c r="C411" t="s">
        <v>34</v>
      </c>
      <c r="D411">
        <v>2463</v>
      </c>
      <c r="E411">
        <v>59</v>
      </c>
      <c r="F411">
        <v>41</v>
      </c>
      <c r="G411">
        <v>2024</v>
      </c>
      <c r="H411">
        <v>348958</v>
      </c>
      <c r="I411" t="s">
        <v>48</v>
      </c>
      <c r="J411" t="s">
        <v>50</v>
      </c>
    </row>
    <row r="412" spans="1:10" x14ac:dyDescent="0.45">
      <c r="A412">
        <v>411</v>
      </c>
      <c r="B412" t="s">
        <v>21</v>
      </c>
      <c r="C412" t="s">
        <v>41</v>
      </c>
      <c r="D412">
        <v>513</v>
      </c>
      <c r="E412">
        <v>69</v>
      </c>
      <c r="F412">
        <v>31</v>
      </c>
      <c r="G412">
        <v>2023</v>
      </c>
      <c r="H412">
        <v>332723</v>
      </c>
      <c r="I412" t="s">
        <v>48</v>
      </c>
      <c r="J412" t="s">
        <v>60</v>
      </c>
    </row>
    <row r="413" spans="1:10" x14ac:dyDescent="0.45">
      <c r="A413">
        <v>412</v>
      </c>
      <c r="B413" t="s">
        <v>20</v>
      </c>
      <c r="C413" t="s">
        <v>40</v>
      </c>
      <c r="D413">
        <v>3518</v>
      </c>
      <c r="E413">
        <v>80</v>
      </c>
      <c r="F413">
        <v>20</v>
      </c>
      <c r="G413">
        <v>2021</v>
      </c>
      <c r="H413">
        <v>579900</v>
      </c>
      <c r="I413" t="s">
        <v>48</v>
      </c>
      <c r="J413" t="s">
        <v>61</v>
      </c>
    </row>
    <row r="414" spans="1:10" x14ac:dyDescent="0.45">
      <c r="A414">
        <v>413</v>
      </c>
      <c r="B414" t="s">
        <v>17</v>
      </c>
      <c r="C414" t="s">
        <v>37</v>
      </c>
      <c r="D414">
        <v>3918</v>
      </c>
      <c r="E414">
        <v>62</v>
      </c>
      <c r="F414">
        <v>38</v>
      </c>
      <c r="G414">
        <v>2022</v>
      </c>
      <c r="H414">
        <v>587602</v>
      </c>
      <c r="I414" t="s">
        <v>48</v>
      </c>
      <c r="J414" t="s">
        <v>57</v>
      </c>
    </row>
    <row r="415" spans="1:10" x14ac:dyDescent="0.45">
      <c r="A415">
        <v>414</v>
      </c>
      <c r="B415" t="s">
        <v>26</v>
      </c>
      <c r="C415" t="s">
        <v>46</v>
      </c>
      <c r="D415">
        <v>1547</v>
      </c>
      <c r="E415">
        <v>75</v>
      </c>
      <c r="F415">
        <v>25</v>
      </c>
      <c r="G415">
        <v>2022</v>
      </c>
      <c r="H415">
        <v>506305</v>
      </c>
      <c r="I415" t="s">
        <v>48</v>
      </c>
      <c r="J415" t="s">
        <v>51</v>
      </c>
    </row>
    <row r="416" spans="1:10" x14ac:dyDescent="0.45">
      <c r="A416">
        <v>415</v>
      </c>
      <c r="B416" t="s">
        <v>12</v>
      </c>
      <c r="C416" t="s">
        <v>32</v>
      </c>
      <c r="D416">
        <v>3178</v>
      </c>
      <c r="E416">
        <v>67</v>
      </c>
      <c r="F416">
        <v>33</v>
      </c>
      <c r="G416">
        <v>2020</v>
      </c>
      <c r="H416">
        <v>358940</v>
      </c>
      <c r="I416" t="s">
        <v>48</v>
      </c>
      <c r="J416" t="s">
        <v>61</v>
      </c>
    </row>
    <row r="417" spans="1:10" x14ac:dyDescent="0.45">
      <c r="A417">
        <v>416</v>
      </c>
      <c r="B417" t="s">
        <v>26</v>
      </c>
      <c r="C417" t="s">
        <v>46</v>
      </c>
      <c r="D417">
        <v>2163</v>
      </c>
      <c r="E417">
        <v>69</v>
      </c>
      <c r="F417">
        <v>31</v>
      </c>
      <c r="G417">
        <v>2021</v>
      </c>
      <c r="H417">
        <v>342236</v>
      </c>
      <c r="I417" t="s">
        <v>48</v>
      </c>
      <c r="J417" t="s">
        <v>50</v>
      </c>
    </row>
    <row r="418" spans="1:10" x14ac:dyDescent="0.45">
      <c r="A418">
        <v>417</v>
      </c>
      <c r="B418" t="s">
        <v>22</v>
      </c>
      <c r="C418" t="s">
        <v>42</v>
      </c>
      <c r="D418">
        <v>3215</v>
      </c>
      <c r="E418">
        <v>83</v>
      </c>
      <c r="F418">
        <v>17</v>
      </c>
      <c r="G418">
        <v>2023</v>
      </c>
      <c r="H418">
        <v>534252</v>
      </c>
      <c r="I418" t="s">
        <v>48</v>
      </c>
      <c r="J418" t="s">
        <v>58</v>
      </c>
    </row>
    <row r="419" spans="1:10" x14ac:dyDescent="0.45">
      <c r="A419">
        <v>418</v>
      </c>
      <c r="B419" t="s">
        <v>20</v>
      </c>
      <c r="C419" t="s">
        <v>40</v>
      </c>
      <c r="D419">
        <v>909</v>
      </c>
      <c r="E419">
        <v>72</v>
      </c>
      <c r="F419">
        <v>28</v>
      </c>
      <c r="G419">
        <v>2024</v>
      </c>
      <c r="H419">
        <v>557042</v>
      </c>
      <c r="I419" t="s">
        <v>48</v>
      </c>
      <c r="J419" t="s">
        <v>52</v>
      </c>
    </row>
    <row r="420" spans="1:10" x14ac:dyDescent="0.45">
      <c r="A420">
        <v>419</v>
      </c>
      <c r="B420" t="s">
        <v>25</v>
      </c>
      <c r="C420" t="s">
        <v>45</v>
      </c>
      <c r="D420">
        <v>1298</v>
      </c>
      <c r="E420">
        <v>61</v>
      </c>
      <c r="F420">
        <v>39</v>
      </c>
      <c r="G420">
        <v>2025</v>
      </c>
      <c r="H420">
        <v>292314</v>
      </c>
      <c r="I420" t="s">
        <v>48</v>
      </c>
      <c r="J420" t="s">
        <v>63</v>
      </c>
    </row>
    <row r="421" spans="1:10" x14ac:dyDescent="0.45">
      <c r="A421">
        <v>420</v>
      </c>
      <c r="B421" t="s">
        <v>26</v>
      </c>
      <c r="C421" t="s">
        <v>46</v>
      </c>
      <c r="D421">
        <v>1775</v>
      </c>
      <c r="E421">
        <v>75</v>
      </c>
      <c r="F421">
        <v>25</v>
      </c>
      <c r="G421">
        <v>2021</v>
      </c>
      <c r="H421">
        <v>464884</v>
      </c>
      <c r="I421" t="s">
        <v>48</v>
      </c>
      <c r="J421" t="s">
        <v>64</v>
      </c>
    </row>
    <row r="422" spans="1:10" x14ac:dyDescent="0.45">
      <c r="A422">
        <v>421</v>
      </c>
      <c r="B422" t="s">
        <v>11</v>
      </c>
      <c r="C422" t="s">
        <v>31</v>
      </c>
      <c r="D422">
        <v>738</v>
      </c>
      <c r="E422">
        <v>47</v>
      </c>
      <c r="F422">
        <v>53</v>
      </c>
      <c r="G422">
        <v>2024</v>
      </c>
      <c r="H422">
        <v>406787</v>
      </c>
      <c r="I422" t="s">
        <v>49</v>
      </c>
      <c r="J422" t="s">
        <v>53</v>
      </c>
    </row>
    <row r="423" spans="1:10" x14ac:dyDescent="0.45">
      <c r="A423">
        <v>422</v>
      </c>
      <c r="B423" t="s">
        <v>21</v>
      </c>
      <c r="C423" t="s">
        <v>41</v>
      </c>
      <c r="D423">
        <v>678</v>
      </c>
      <c r="E423">
        <v>41</v>
      </c>
      <c r="F423">
        <v>59</v>
      </c>
      <c r="G423">
        <v>2025</v>
      </c>
      <c r="H423">
        <v>276361</v>
      </c>
      <c r="I423" t="s">
        <v>49</v>
      </c>
      <c r="J423" t="s">
        <v>60</v>
      </c>
    </row>
    <row r="424" spans="1:10" x14ac:dyDescent="0.45">
      <c r="A424">
        <v>423</v>
      </c>
      <c r="B424" t="s">
        <v>25</v>
      </c>
      <c r="C424" t="s">
        <v>45</v>
      </c>
      <c r="D424">
        <v>1278</v>
      </c>
      <c r="E424">
        <v>68</v>
      </c>
      <c r="F424">
        <v>32</v>
      </c>
      <c r="G424">
        <v>2023</v>
      </c>
      <c r="H424">
        <v>555642</v>
      </c>
      <c r="I424" t="s">
        <v>48</v>
      </c>
      <c r="J424" t="s">
        <v>57</v>
      </c>
    </row>
    <row r="425" spans="1:10" x14ac:dyDescent="0.45">
      <c r="A425">
        <v>424</v>
      </c>
      <c r="B425" t="s">
        <v>16</v>
      </c>
      <c r="C425" t="s">
        <v>36</v>
      </c>
      <c r="D425">
        <v>1216</v>
      </c>
      <c r="E425">
        <v>72</v>
      </c>
      <c r="F425">
        <v>28</v>
      </c>
      <c r="G425">
        <v>2023</v>
      </c>
      <c r="H425">
        <v>455884</v>
      </c>
      <c r="I425" t="s">
        <v>48</v>
      </c>
      <c r="J425" t="s">
        <v>60</v>
      </c>
    </row>
    <row r="426" spans="1:10" x14ac:dyDescent="0.45">
      <c r="A426">
        <v>425</v>
      </c>
      <c r="B426" t="s">
        <v>14</v>
      </c>
      <c r="C426" t="s">
        <v>34</v>
      </c>
      <c r="D426">
        <v>3790</v>
      </c>
      <c r="E426">
        <v>61</v>
      </c>
      <c r="F426">
        <v>39</v>
      </c>
      <c r="G426">
        <v>2020</v>
      </c>
      <c r="H426">
        <v>180347</v>
      </c>
      <c r="I426" t="s">
        <v>48</v>
      </c>
      <c r="J426" t="s">
        <v>61</v>
      </c>
    </row>
    <row r="427" spans="1:10" x14ac:dyDescent="0.45">
      <c r="A427">
        <v>426</v>
      </c>
      <c r="B427" t="s">
        <v>17</v>
      </c>
      <c r="C427" t="s">
        <v>37</v>
      </c>
      <c r="D427">
        <v>2401</v>
      </c>
      <c r="E427">
        <v>66</v>
      </c>
      <c r="F427">
        <v>34</v>
      </c>
      <c r="G427">
        <v>2025</v>
      </c>
      <c r="H427">
        <v>284858</v>
      </c>
      <c r="I427" t="s">
        <v>48</v>
      </c>
      <c r="J427" t="s">
        <v>54</v>
      </c>
    </row>
    <row r="428" spans="1:10" x14ac:dyDescent="0.45">
      <c r="A428">
        <v>427</v>
      </c>
      <c r="B428" t="s">
        <v>24</v>
      </c>
      <c r="C428" t="s">
        <v>44</v>
      </c>
      <c r="D428">
        <v>317</v>
      </c>
      <c r="E428">
        <v>78</v>
      </c>
      <c r="F428">
        <v>22</v>
      </c>
      <c r="G428">
        <v>2020</v>
      </c>
      <c r="H428">
        <v>199977</v>
      </c>
      <c r="I428" t="s">
        <v>48</v>
      </c>
      <c r="J428" t="s">
        <v>57</v>
      </c>
    </row>
    <row r="429" spans="1:10" x14ac:dyDescent="0.45">
      <c r="A429">
        <v>428</v>
      </c>
      <c r="B429" t="s">
        <v>12</v>
      </c>
      <c r="C429" t="s">
        <v>32</v>
      </c>
      <c r="D429">
        <v>4872</v>
      </c>
      <c r="E429">
        <v>64</v>
      </c>
      <c r="F429">
        <v>36</v>
      </c>
      <c r="G429">
        <v>2023</v>
      </c>
      <c r="H429">
        <v>210189</v>
      </c>
      <c r="I429" t="s">
        <v>48</v>
      </c>
      <c r="J429" t="s">
        <v>59</v>
      </c>
    </row>
    <row r="430" spans="1:10" x14ac:dyDescent="0.45">
      <c r="A430">
        <v>429</v>
      </c>
      <c r="B430" t="s">
        <v>14</v>
      </c>
      <c r="C430" t="s">
        <v>34</v>
      </c>
      <c r="D430">
        <v>1093</v>
      </c>
      <c r="E430">
        <v>49</v>
      </c>
      <c r="F430">
        <v>51</v>
      </c>
      <c r="G430">
        <v>2024</v>
      </c>
      <c r="H430">
        <v>413154</v>
      </c>
      <c r="I430" t="s">
        <v>49</v>
      </c>
      <c r="J430" t="s">
        <v>51</v>
      </c>
    </row>
    <row r="431" spans="1:10" x14ac:dyDescent="0.45">
      <c r="A431">
        <v>430</v>
      </c>
      <c r="B431" t="s">
        <v>27</v>
      </c>
      <c r="C431" t="s">
        <v>36</v>
      </c>
      <c r="D431">
        <v>4696</v>
      </c>
      <c r="E431">
        <v>45</v>
      </c>
      <c r="F431">
        <v>55</v>
      </c>
      <c r="G431">
        <v>2021</v>
      </c>
      <c r="H431">
        <v>554351</v>
      </c>
      <c r="I431" t="s">
        <v>49</v>
      </c>
      <c r="J431" t="s">
        <v>62</v>
      </c>
    </row>
    <row r="432" spans="1:10" x14ac:dyDescent="0.45">
      <c r="A432">
        <v>431</v>
      </c>
      <c r="B432" t="s">
        <v>27</v>
      </c>
      <c r="C432" t="s">
        <v>36</v>
      </c>
      <c r="D432">
        <v>3587</v>
      </c>
      <c r="E432">
        <v>85</v>
      </c>
      <c r="F432">
        <v>15</v>
      </c>
      <c r="G432">
        <v>2025</v>
      </c>
      <c r="H432">
        <v>222813</v>
      </c>
      <c r="I432" t="s">
        <v>48</v>
      </c>
      <c r="J432" t="s">
        <v>58</v>
      </c>
    </row>
    <row r="433" spans="1:10" x14ac:dyDescent="0.45">
      <c r="A433">
        <v>432</v>
      </c>
      <c r="B433" t="s">
        <v>24</v>
      </c>
      <c r="C433" t="s">
        <v>44</v>
      </c>
      <c r="D433">
        <v>3534</v>
      </c>
      <c r="E433">
        <v>42</v>
      </c>
      <c r="F433">
        <v>58</v>
      </c>
      <c r="G433">
        <v>2021</v>
      </c>
      <c r="H433">
        <v>299405</v>
      </c>
      <c r="I433" t="s">
        <v>49</v>
      </c>
      <c r="J433" t="s">
        <v>54</v>
      </c>
    </row>
    <row r="434" spans="1:10" x14ac:dyDescent="0.45">
      <c r="A434">
        <v>433</v>
      </c>
      <c r="B434" t="s">
        <v>21</v>
      </c>
      <c r="C434" t="s">
        <v>41</v>
      </c>
      <c r="D434">
        <v>932</v>
      </c>
      <c r="E434">
        <v>49</v>
      </c>
      <c r="F434">
        <v>51</v>
      </c>
      <c r="G434">
        <v>2022</v>
      </c>
      <c r="H434">
        <v>443925</v>
      </c>
      <c r="I434" t="s">
        <v>49</v>
      </c>
      <c r="J434" t="s">
        <v>50</v>
      </c>
    </row>
    <row r="435" spans="1:10" x14ac:dyDescent="0.45">
      <c r="A435">
        <v>434</v>
      </c>
      <c r="B435" t="s">
        <v>28</v>
      </c>
      <c r="C435" t="s">
        <v>43</v>
      </c>
      <c r="D435">
        <v>4912</v>
      </c>
      <c r="E435">
        <v>48</v>
      </c>
      <c r="F435">
        <v>52</v>
      </c>
      <c r="G435">
        <v>2021</v>
      </c>
      <c r="H435">
        <v>540293</v>
      </c>
      <c r="I435" t="s">
        <v>49</v>
      </c>
      <c r="J435" t="s">
        <v>63</v>
      </c>
    </row>
    <row r="436" spans="1:10" x14ac:dyDescent="0.45">
      <c r="A436">
        <v>435</v>
      </c>
      <c r="B436" t="s">
        <v>11</v>
      </c>
      <c r="C436" t="s">
        <v>31</v>
      </c>
      <c r="D436">
        <v>2671</v>
      </c>
      <c r="E436">
        <v>51</v>
      </c>
      <c r="F436">
        <v>49</v>
      </c>
      <c r="G436">
        <v>2024</v>
      </c>
      <c r="H436">
        <v>417727</v>
      </c>
      <c r="I436" t="s">
        <v>48</v>
      </c>
      <c r="J436" t="s">
        <v>52</v>
      </c>
    </row>
    <row r="437" spans="1:10" x14ac:dyDescent="0.45">
      <c r="A437">
        <v>436</v>
      </c>
      <c r="B437" t="s">
        <v>20</v>
      </c>
      <c r="C437" t="s">
        <v>40</v>
      </c>
      <c r="D437">
        <v>3975</v>
      </c>
      <c r="E437">
        <v>44</v>
      </c>
      <c r="F437">
        <v>56</v>
      </c>
      <c r="G437">
        <v>2023</v>
      </c>
      <c r="H437">
        <v>534742</v>
      </c>
      <c r="I437" t="s">
        <v>49</v>
      </c>
      <c r="J437" t="s">
        <v>64</v>
      </c>
    </row>
    <row r="438" spans="1:10" x14ac:dyDescent="0.45">
      <c r="A438">
        <v>437</v>
      </c>
      <c r="B438" t="s">
        <v>10</v>
      </c>
      <c r="C438" t="s">
        <v>30</v>
      </c>
      <c r="D438">
        <v>814</v>
      </c>
      <c r="E438">
        <v>70</v>
      </c>
      <c r="F438">
        <v>30</v>
      </c>
      <c r="G438">
        <v>2021</v>
      </c>
      <c r="H438">
        <v>258950</v>
      </c>
      <c r="I438" t="s">
        <v>48</v>
      </c>
      <c r="J438" t="s">
        <v>58</v>
      </c>
    </row>
    <row r="439" spans="1:10" x14ac:dyDescent="0.45">
      <c r="A439">
        <v>438</v>
      </c>
      <c r="B439" t="s">
        <v>29</v>
      </c>
      <c r="C439" t="s">
        <v>47</v>
      </c>
      <c r="D439">
        <v>4096</v>
      </c>
      <c r="E439">
        <v>58</v>
      </c>
      <c r="F439">
        <v>42</v>
      </c>
      <c r="G439">
        <v>2025</v>
      </c>
      <c r="H439">
        <v>420404</v>
      </c>
      <c r="I439" t="s">
        <v>48</v>
      </c>
      <c r="J439" t="s">
        <v>55</v>
      </c>
    </row>
    <row r="440" spans="1:10" x14ac:dyDescent="0.45">
      <c r="A440">
        <v>439</v>
      </c>
      <c r="B440" t="s">
        <v>16</v>
      </c>
      <c r="C440" t="s">
        <v>36</v>
      </c>
      <c r="D440">
        <v>1266</v>
      </c>
      <c r="E440">
        <v>83</v>
      </c>
      <c r="F440">
        <v>17</v>
      </c>
      <c r="G440">
        <v>2020</v>
      </c>
      <c r="H440">
        <v>353891</v>
      </c>
      <c r="I440" t="s">
        <v>48</v>
      </c>
      <c r="J440" t="s">
        <v>59</v>
      </c>
    </row>
    <row r="441" spans="1:10" x14ac:dyDescent="0.45">
      <c r="A441">
        <v>440</v>
      </c>
      <c r="B441" t="s">
        <v>18</v>
      </c>
      <c r="C441" t="s">
        <v>38</v>
      </c>
      <c r="D441">
        <v>4136</v>
      </c>
      <c r="E441">
        <v>74</v>
      </c>
      <c r="F441">
        <v>26</v>
      </c>
      <c r="G441">
        <v>2025</v>
      </c>
      <c r="H441">
        <v>566057</v>
      </c>
      <c r="I441" t="s">
        <v>48</v>
      </c>
      <c r="J441" t="s">
        <v>51</v>
      </c>
    </row>
    <row r="442" spans="1:10" x14ac:dyDescent="0.45">
      <c r="A442">
        <v>441</v>
      </c>
      <c r="B442" t="s">
        <v>12</v>
      </c>
      <c r="C442" t="s">
        <v>32</v>
      </c>
      <c r="D442">
        <v>1471</v>
      </c>
      <c r="E442">
        <v>40</v>
      </c>
      <c r="F442">
        <v>60</v>
      </c>
      <c r="G442">
        <v>2022</v>
      </c>
      <c r="H442">
        <v>454469</v>
      </c>
      <c r="I442" t="s">
        <v>49</v>
      </c>
      <c r="J442" t="s">
        <v>62</v>
      </c>
    </row>
    <row r="443" spans="1:10" x14ac:dyDescent="0.45">
      <c r="A443">
        <v>442</v>
      </c>
      <c r="B443" t="s">
        <v>26</v>
      </c>
      <c r="C443" t="s">
        <v>46</v>
      </c>
      <c r="D443">
        <v>573</v>
      </c>
      <c r="E443">
        <v>46</v>
      </c>
      <c r="F443">
        <v>54</v>
      </c>
      <c r="G443">
        <v>2020</v>
      </c>
      <c r="H443">
        <v>372561</v>
      </c>
      <c r="I443" t="s">
        <v>49</v>
      </c>
      <c r="J443" t="s">
        <v>59</v>
      </c>
    </row>
    <row r="444" spans="1:10" x14ac:dyDescent="0.45">
      <c r="A444">
        <v>443</v>
      </c>
      <c r="B444" t="s">
        <v>19</v>
      </c>
      <c r="C444" t="s">
        <v>39</v>
      </c>
      <c r="D444">
        <v>1673</v>
      </c>
      <c r="E444">
        <v>61</v>
      </c>
      <c r="F444">
        <v>39</v>
      </c>
      <c r="G444">
        <v>2025</v>
      </c>
      <c r="H444">
        <v>549070</v>
      </c>
      <c r="I444" t="s">
        <v>48</v>
      </c>
      <c r="J444" t="s">
        <v>57</v>
      </c>
    </row>
    <row r="445" spans="1:10" x14ac:dyDescent="0.45">
      <c r="A445">
        <v>444</v>
      </c>
      <c r="B445" t="s">
        <v>23</v>
      </c>
      <c r="C445" t="s">
        <v>43</v>
      </c>
      <c r="D445">
        <v>737</v>
      </c>
      <c r="E445">
        <v>66</v>
      </c>
      <c r="F445">
        <v>34</v>
      </c>
      <c r="G445">
        <v>2021</v>
      </c>
      <c r="H445">
        <v>362459</v>
      </c>
      <c r="I445" t="s">
        <v>48</v>
      </c>
      <c r="J445" t="s">
        <v>56</v>
      </c>
    </row>
    <row r="446" spans="1:10" x14ac:dyDescent="0.45">
      <c r="A446">
        <v>445</v>
      </c>
      <c r="B446" t="s">
        <v>28</v>
      </c>
      <c r="C446" t="s">
        <v>43</v>
      </c>
      <c r="D446">
        <v>4768</v>
      </c>
      <c r="E446">
        <v>57</v>
      </c>
      <c r="F446">
        <v>43</v>
      </c>
      <c r="G446">
        <v>2021</v>
      </c>
      <c r="H446">
        <v>324029</v>
      </c>
      <c r="I446" t="s">
        <v>48</v>
      </c>
      <c r="J446" t="s">
        <v>56</v>
      </c>
    </row>
    <row r="447" spans="1:10" x14ac:dyDescent="0.45">
      <c r="A447">
        <v>446</v>
      </c>
      <c r="B447" t="s">
        <v>25</v>
      </c>
      <c r="C447" t="s">
        <v>45</v>
      </c>
      <c r="D447">
        <v>1804</v>
      </c>
      <c r="E447">
        <v>77</v>
      </c>
      <c r="F447">
        <v>23</v>
      </c>
      <c r="G447">
        <v>2022</v>
      </c>
      <c r="H447">
        <v>573344</v>
      </c>
      <c r="I447" t="s">
        <v>48</v>
      </c>
      <c r="J447" t="s">
        <v>55</v>
      </c>
    </row>
    <row r="448" spans="1:10" x14ac:dyDescent="0.45">
      <c r="A448">
        <v>447</v>
      </c>
      <c r="B448" t="s">
        <v>10</v>
      </c>
      <c r="C448" t="s">
        <v>30</v>
      </c>
      <c r="D448">
        <v>3889</v>
      </c>
      <c r="E448">
        <v>81</v>
      </c>
      <c r="F448">
        <v>19</v>
      </c>
      <c r="G448">
        <v>2022</v>
      </c>
      <c r="H448">
        <v>348106</v>
      </c>
      <c r="I448" t="s">
        <v>48</v>
      </c>
      <c r="J448" t="s">
        <v>57</v>
      </c>
    </row>
    <row r="449" spans="1:10" x14ac:dyDescent="0.45">
      <c r="A449">
        <v>448</v>
      </c>
      <c r="B449" t="s">
        <v>19</v>
      </c>
      <c r="C449" t="s">
        <v>39</v>
      </c>
      <c r="D449">
        <v>611</v>
      </c>
      <c r="E449">
        <v>52</v>
      </c>
      <c r="F449">
        <v>48</v>
      </c>
      <c r="G449">
        <v>2021</v>
      </c>
      <c r="H449">
        <v>521700</v>
      </c>
      <c r="I449" t="s">
        <v>48</v>
      </c>
      <c r="J449" t="s">
        <v>55</v>
      </c>
    </row>
    <row r="450" spans="1:10" x14ac:dyDescent="0.45">
      <c r="A450">
        <v>449</v>
      </c>
      <c r="B450" t="s">
        <v>23</v>
      </c>
      <c r="C450" t="s">
        <v>43</v>
      </c>
      <c r="D450">
        <v>721</v>
      </c>
      <c r="E450">
        <v>57</v>
      </c>
      <c r="F450">
        <v>43</v>
      </c>
      <c r="G450">
        <v>2023</v>
      </c>
      <c r="H450">
        <v>332899</v>
      </c>
      <c r="I450" t="s">
        <v>48</v>
      </c>
      <c r="J450" t="s">
        <v>64</v>
      </c>
    </row>
    <row r="451" spans="1:10" x14ac:dyDescent="0.45">
      <c r="A451">
        <v>450</v>
      </c>
      <c r="B451" t="s">
        <v>25</v>
      </c>
      <c r="C451" t="s">
        <v>45</v>
      </c>
      <c r="D451">
        <v>3062</v>
      </c>
      <c r="E451">
        <v>81</v>
      </c>
      <c r="F451">
        <v>19</v>
      </c>
      <c r="G451">
        <v>2021</v>
      </c>
      <c r="H451">
        <v>511943</v>
      </c>
      <c r="I451" t="s">
        <v>48</v>
      </c>
      <c r="J451" t="s">
        <v>61</v>
      </c>
    </row>
    <row r="452" spans="1:10" x14ac:dyDescent="0.45">
      <c r="A452">
        <v>451</v>
      </c>
      <c r="B452" t="s">
        <v>10</v>
      </c>
      <c r="C452" t="s">
        <v>30</v>
      </c>
      <c r="D452">
        <v>1720</v>
      </c>
      <c r="E452">
        <v>78</v>
      </c>
      <c r="F452">
        <v>22</v>
      </c>
      <c r="G452">
        <v>2020</v>
      </c>
      <c r="H452">
        <v>290883</v>
      </c>
      <c r="I452" t="s">
        <v>48</v>
      </c>
      <c r="J452" t="s">
        <v>59</v>
      </c>
    </row>
    <row r="453" spans="1:10" x14ac:dyDescent="0.45">
      <c r="A453">
        <v>452</v>
      </c>
      <c r="B453" t="s">
        <v>28</v>
      </c>
      <c r="C453" t="s">
        <v>43</v>
      </c>
      <c r="D453">
        <v>989</v>
      </c>
      <c r="E453">
        <v>68</v>
      </c>
      <c r="F453">
        <v>32</v>
      </c>
      <c r="G453">
        <v>2023</v>
      </c>
      <c r="H453">
        <v>568671</v>
      </c>
      <c r="I453" t="s">
        <v>48</v>
      </c>
      <c r="J453" t="s">
        <v>50</v>
      </c>
    </row>
    <row r="454" spans="1:10" x14ac:dyDescent="0.45">
      <c r="A454">
        <v>453</v>
      </c>
      <c r="B454" t="s">
        <v>13</v>
      </c>
      <c r="C454" t="s">
        <v>33</v>
      </c>
      <c r="D454">
        <v>3224</v>
      </c>
      <c r="E454">
        <v>76</v>
      </c>
      <c r="F454">
        <v>24</v>
      </c>
      <c r="G454">
        <v>2023</v>
      </c>
      <c r="H454">
        <v>297706</v>
      </c>
      <c r="I454" t="s">
        <v>48</v>
      </c>
      <c r="J454" t="s">
        <v>53</v>
      </c>
    </row>
    <row r="455" spans="1:10" x14ac:dyDescent="0.45">
      <c r="A455">
        <v>454</v>
      </c>
      <c r="B455" t="s">
        <v>17</v>
      </c>
      <c r="C455" t="s">
        <v>37</v>
      </c>
      <c r="D455">
        <v>2660</v>
      </c>
      <c r="E455">
        <v>45</v>
      </c>
      <c r="F455">
        <v>55</v>
      </c>
      <c r="G455">
        <v>2025</v>
      </c>
      <c r="H455">
        <v>560883</v>
      </c>
      <c r="I455" t="s">
        <v>49</v>
      </c>
      <c r="J455" t="s">
        <v>55</v>
      </c>
    </row>
    <row r="456" spans="1:10" x14ac:dyDescent="0.45">
      <c r="A456">
        <v>455</v>
      </c>
      <c r="B456" t="s">
        <v>26</v>
      </c>
      <c r="C456" t="s">
        <v>46</v>
      </c>
      <c r="D456">
        <v>2363</v>
      </c>
      <c r="E456">
        <v>52</v>
      </c>
      <c r="F456">
        <v>48</v>
      </c>
      <c r="G456">
        <v>2025</v>
      </c>
      <c r="H456">
        <v>467509</v>
      </c>
      <c r="I456" t="s">
        <v>48</v>
      </c>
      <c r="J456" t="s">
        <v>59</v>
      </c>
    </row>
    <row r="457" spans="1:10" x14ac:dyDescent="0.45">
      <c r="A457">
        <v>456</v>
      </c>
      <c r="B457" t="s">
        <v>28</v>
      </c>
      <c r="C457" t="s">
        <v>43</v>
      </c>
      <c r="D457">
        <v>4185</v>
      </c>
      <c r="E457">
        <v>52</v>
      </c>
      <c r="F457">
        <v>48</v>
      </c>
      <c r="G457">
        <v>2020</v>
      </c>
      <c r="H457">
        <v>580733</v>
      </c>
      <c r="I457" t="s">
        <v>48</v>
      </c>
      <c r="J457" t="s">
        <v>59</v>
      </c>
    </row>
    <row r="458" spans="1:10" x14ac:dyDescent="0.45">
      <c r="A458">
        <v>457</v>
      </c>
      <c r="B458" t="s">
        <v>21</v>
      </c>
      <c r="C458" t="s">
        <v>41</v>
      </c>
      <c r="D458">
        <v>3297</v>
      </c>
      <c r="E458">
        <v>59</v>
      </c>
      <c r="F458">
        <v>41</v>
      </c>
      <c r="G458">
        <v>2025</v>
      </c>
      <c r="H458">
        <v>587013</v>
      </c>
      <c r="I458" t="s">
        <v>48</v>
      </c>
      <c r="J458" t="s">
        <v>56</v>
      </c>
    </row>
    <row r="459" spans="1:10" x14ac:dyDescent="0.45">
      <c r="A459">
        <v>458</v>
      </c>
      <c r="B459" t="s">
        <v>17</v>
      </c>
      <c r="C459" t="s">
        <v>37</v>
      </c>
      <c r="D459">
        <v>3422</v>
      </c>
      <c r="E459">
        <v>59</v>
      </c>
      <c r="F459">
        <v>41</v>
      </c>
      <c r="G459">
        <v>2022</v>
      </c>
      <c r="H459">
        <v>472125</v>
      </c>
      <c r="I459" t="s">
        <v>48</v>
      </c>
      <c r="J459" t="s">
        <v>62</v>
      </c>
    </row>
    <row r="460" spans="1:10" x14ac:dyDescent="0.45">
      <c r="A460">
        <v>459</v>
      </c>
      <c r="B460" t="s">
        <v>24</v>
      </c>
      <c r="C460" t="s">
        <v>44</v>
      </c>
      <c r="D460">
        <v>4340</v>
      </c>
      <c r="E460">
        <v>63</v>
      </c>
      <c r="F460">
        <v>37</v>
      </c>
      <c r="G460">
        <v>2020</v>
      </c>
      <c r="H460">
        <v>224879</v>
      </c>
      <c r="I460" t="s">
        <v>48</v>
      </c>
      <c r="J460" t="s">
        <v>64</v>
      </c>
    </row>
    <row r="461" spans="1:10" x14ac:dyDescent="0.45">
      <c r="A461">
        <v>460</v>
      </c>
      <c r="B461" t="s">
        <v>23</v>
      </c>
      <c r="C461" t="s">
        <v>43</v>
      </c>
      <c r="D461">
        <v>4615</v>
      </c>
      <c r="E461">
        <v>82</v>
      </c>
      <c r="F461">
        <v>18</v>
      </c>
      <c r="G461">
        <v>2023</v>
      </c>
      <c r="H461">
        <v>528206</v>
      </c>
      <c r="I461" t="s">
        <v>48</v>
      </c>
      <c r="J461" t="s">
        <v>63</v>
      </c>
    </row>
    <row r="462" spans="1:10" x14ac:dyDescent="0.45">
      <c r="A462">
        <v>461</v>
      </c>
      <c r="B462" t="s">
        <v>26</v>
      </c>
      <c r="C462" t="s">
        <v>46</v>
      </c>
      <c r="D462">
        <v>4779</v>
      </c>
      <c r="E462">
        <v>84</v>
      </c>
      <c r="F462">
        <v>16</v>
      </c>
      <c r="G462">
        <v>2022</v>
      </c>
      <c r="H462">
        <v>460142</v>
      </c>
      <c r="I462" t="s">
        <v>48</v>
      </c>
      <c r="J462" t="s">
        <v>50</v>
      </c>
    </row>
    <row r="463" spans="1:10" x14ac:dyDescent="0.45">
      <c r="A463">
        <v>462</v>
      </c>
      <c r="B463" t="s">
        <v>21</v>
      </c>
      <c r="C463" t="s">
        <v>41</v>
      </c>
      <c r="D463">
        <v>668</v>
      </c>
      <c r="E463">
        <v>43</v>
      </c>
      <c r="F463">
        <v>57</v>
      </c>
      <c r="G463">
        <v>2021</v>
      </c>
      <c r="H463">
        <v>409486</v>
      </c>
      <c r="I463" t="s">
        <v>49</v>
      </c>
      <c r="J463" t="s">
        <v>62</v>
      </c>
    </row>
    <row r="464" spans="1:10" x14ac:dyDescent="0.45">
      <c r="A464">
        <v>463</v>
      </c>
      <c r="B464" t="s">
        <v>18</v>
      </c>
      <c r="C464" t="s">
        <v>38</v>
      </c>
      <c r="D464">
        <v>4664</v>
      </c>
      <c r="E464">
        <v>56</v>
      </c>
      <c r="F464">
        <v>44</v>
      </c>
      <c r="G464">
        <v>2023</v>
      </c>
      <c r="H464">
        <v>406890</v>
      </c>
      <c r="I464" t="s">
        <v>48</v>
      </c>
      <c r="J464" t="s">
        <v>64</v>
      </c>
    </row>
    <row r="465" spans="1:10" x14ac:dyDescent="0.45">
      <c r="A465">
        <v>464</v>
      </c>
      <c r="B465" t="s">
        <v>19</v>
      </c>
      <c r="C465" t="s">
        <v>39</v>
      </c>
      <c r="D465">
        <v>3975</v>
      </c>
      <c r="E465">
        <v>76</v>
      </c>
      <c r="F465">
        <v>24</v>
      </c>
      <c r="G465">
        <v>2023</v>
      </c>
      <c r="H465">
        <v>485946</v>
      </c>
      <c r="I465" t="s">
        <v>48</v>
      </c>
      <c r="J465" t="s">
        <v>59</v>
      </c>
    </row>
    <row r="466" spans="1:10" x14ac:dyDescent="0.45">
      <c r="A466">
        <v>465</v>
      </c>
      <c r="B466" t="s">
        <v>24</v>
      </c>
      <c r="C466" t="s">
        <v>44</v>
      </c>
      <c r="D466">
        <v>712</v>
      </c>
      <c r="E466">
        <v>51</v>
      </c>
      <c r="F466">
        <v>49</v>
      </c>
      <c r="G466">
        <v>2024</v>
      </c>
      <c r="H466">
        <v>236399</v>
      </c>
      <c r="I466" t="s">
        <v>48</v>
      </c>
      <c r="J466" t="s">
        <v>55</v>
      </c>
    </row>
    <row r="467" spans="1:10" x14ac:dyDescent="0.45">
      <c r="A467">
        <v>466</v>
      </c>
      <c r="B467" t="s">
        <v>29</v>
      </c>
      <c r="C467" t="s">
        <v>47</v>
      </c>
      <c r="D467">
        <v>455</v>
      </c>
      <c r="E467">
        <v>62</v>
      </c>
      <c r="F467">
        <v>38</v>
      </c>
      <c r="G467">
        <v>2025</v>
      </c>
      <c r="H467">
        <v>335942</v>
      </c>
      <c r="I467" t="s">
        <v>48</v>
      </c>
      <c r="J467" t="s">
        <v>57</v>
      </c>
    </row>
    <row r="468" spans="1:10" x14ac:dyDescent="0.45">
      <c r="A468">
        <v>467</v>
      </c>
      <c r="B468" t="s">
        <v>12</v>
      </c>
      <c r="C468" t="s">
        <v>32</v>
      </c>
      <c r="D468">
        <v>2432</v>
      </c>
      <c r="E468">
        <v>76</v>
      </c>
      <c r="F468">
        <v>24</v>
      </c>
      <c r="G468">
        <v>2025</v>
      </c>
      <c r="H468">
        <v>205049</v>
      </c>
      <c r="I468" t="s">
        <v>48</v>
      </c>
      <c r="J468" t="s">
        <v>53</v>
      </c>
    </row>
    <row r="469" spans="1:10" x14ac:dyDescent="0.45">
      <c r="A469">
        <v>468</v>
      </c>
      <c r="B469" t="s">
        <v>16</v>
      </c>
      <c r="C469" t="s">
        <v>36</v>
      </c>
      <c r="D469">
        <v>2719</v>
      </c>
      <c r="E469">
        <v>68</v>
      </c>
      <c r="F469">
        <v>32</v>
      </c>
      <c r="G469">
        <v>2025</v>
      </c>
      <c r="H469">
        <v>534791</v>
      </c>
      <c r="I469" t="s">
        <v>48</v>
      </c>
      <c r="J469" t="s">
        <v>54</v>
      </c>
    </row>
    <row r="470" spans="1:10" x14ac:dyDescent="0.45">
      <c r="A470">
        <v>469</v>
      </c>
      <c r="B470" t="s">
        <v>28</v>
      </c>
      <c r="C470" t="s">
        <v>43</v>
      </c>
      <c r="D470">
        <v>3685</v>
      </c>
      <c r="E470">
        <v>69</v>
      </c>
      <c r="F470">
        <v>31</v>
      </c>
      <c r="G470">
        <v>2024</v>
      </c>
      <c r="H470">
        <v>572336</v>
      </c>
      <c r="I470" t="s">
        <v>48</v>
      </c>
      <c r="J470" t="s">
        <v>58</v>
      </c>
    </row>
    <row r="471" spans="1:10" x14ac:dyDescent="0.45">
      <c r="A471">
        <v>470</v>
      </c>
      <c r="B471" t="s">
        <v>21</v>
      </c>
      <c r="C471" t="s">
        <v>41</v>
      </c>
      <c r="D471">
        <v>4894</v>
      </c>
      <c r="E471">
        <v>80</v>
      </c>
      <c r="F471">
        <v>20</v>
      </c>
      <c r="G471">
        <v>2024</v>
      </c>
      <c r="H471">
        <v>270627</v>
      </c>
      <c r="I471" t="s">
        <v>48</v>
      </c>
      <c r="J471" t="s">
        <v>51</v>
      </c>
    </row>
    <row r="472" spans="1:10" x14ac:dyDescent="0.45">
      <c r="A472">
        <v>471</v>
      </c>
      <c r="B472" t="s">
        <v>29</v>
      </c>
      <c r="C472" t="s">
        <v>47</v>
      </c>
      <c r="D472">
        <v>2888</v>
      </c>
      <c r="E472">
        <v>68</v>
      </c>
      <c r="F472">
        <v>32</v>
      </c>
      <c r="G472">
        <v>2025</v>
      </c>
      <c r="H472">
        <v>316327</v>
      </c>
      <c r="I472" t="s">
        <v>48</v>
      </c>
      <c r="J472" t="s">
        <v>53</v>
      </c>
    </row>
    <row r="473" spans="1:10" x14ac:dyDescent="0.45">
      <c r="A473">
        <v>472</v>
      </c>
      <c r="B473" t="s">
        <v>15</v>
      </c>
      <c r="C473" t="s">
        <v>35</v>
      </c>
      <c r="D473">
        <v>2769</v>
      </c>
      <c r="E473">
        <v>52</v>
      </c>
      <c r="F473">
        <v>48</v>
      </c>
      <c r="G473">
        <v>2025</v>
      </c>
      <c r="H473">
        <v>324412</v>
      </c>
      <c r="I473" t="s">
        <v>48</v>
      </c>
      <c r="J473" t="s">
        <v>55</v>
      </c>
    </row>
    <row r="474" spans="1:10" x14ac:dyDescent="0.45">
      <c r="A474">
        <v>473</v>
      </c>
      <c r="B474" t="s">
        <v>20</v>
      </c>
      <c r="C474" t="s">
        <v>40</v>
      </c>
      <c r="D474">
        <v>622</v>
      </c>
      <c r="E474">
        <v>77</v>
      </c>
      <c r="F474">
        <v>23</v>
      </c>
      <c r="G474">
        <v>2022</v>
      </c>
      <c r="H474">
        <v>222559</v>
      </c>
      <c r="I474" t="s">
        <v>48</v>
      </c>
      <c r="J474" t="s">
        <v>50</v>
      </c>
    </row>
    <row r="475" spans="1:10" x14ac:dyDescent="0.45">
      <c r="A475">
        <v>474</v>
      </c>
      <c r="B475" t="s">
        <v>12</v>
      </c>
      <c r="C475" t="s">
        <v>32</v>
      </c>
      <c r="D475">
        <v>3662</v>
      </c>
      <c r="E475">
        <v>68</v>
      </c>
      <c r="F475">
        <v>32</v>
      </c>
      <c r="G475">
        <v>2020</v>
      </c>
      <c r="H475">
        <v>518128</v>
      </c>
      <c r="I475" t="s">
        <v>48</v>
      </c>
      <c r="J475" t="s">
        <v>60</v>
      </c>
    </row>
    <row r="476" spans="1:10" x14ac:dyDescent="0.45">
      <c r="A476">
        <v>475</v>
      </c>
      <c r="B476" t="s">
        <v>23</v>
      </c>
      <c r="C476" t="s">
        <v>43</v>
      </c>
      <c r="D476">
        <v>3927</v>
      </c>
      <c r="E476">
        <v>50</v>
      </c>
      <c r="F476">
        <v>50</v>
      </c>
      <c r="G476">
        <v>2022</v>
      </c>
      <c r="H476">
        <v>270398</v>
      </c>
      <c r="I476" t="s">
        <v>49</v>
      </c>
      <c r="J476" t="s">
        <v>56</v>
      </c>
    </row>
    <row r="477" spans="1:10" x14ac:dyDescent="0.45">
      <c r="A477">
        <v>476</v>
      </c>
      <c r="B477" t="s">
        <v>10</v>
      </c>
      <c r="C477" t="s">
        <v>30</v>
      </c>
      <c r="D477">
        <v>3297</v>
      </c>
      <c r="E477">
        <v>76</v>
      </c>
      <c r="F477">
        <v>24</v>
      </c>
      <c r="G477">
        <v>2024</v>
      </c>
      <c r="H477">
        <v>294165</v>
      </c>
      <c r="I477" t="s">
        <v>48</v>
      </c>
      <c r="J477" t="s">
        <v>52</v>
      </c>
    </row>
    <row r="478" spans="1:10" x14ac:dyDescent="0.45">
      <c r="A478">
        <v>477</v>
      </c>
      <c r="B478" t="s">
        <v>21</v>
      </c>
      <c r="C478" t="s">
        <v>41</v>
      </c>
      <c r="D478">
        <v>2565</v>
      </c>
      <c r="E478">
        <v>83</v>
      </c>
      <c r="F478">
        <v>17</v>
      </c>
      <c r="G478">
        <v>2021</v>
      </c>
      <c r="H478">
        <v>358679</v>
      </c>
      <c r="I478" t="s">
        <v>48</v>
      </c>
      <c r="J478" t="s">
        <v>62</v>
      </c>
    </row>
    <row r="479" spans="1:10" x14ac:dyDescent="0.45">
      <c r="A479">
        <v>478</v>
      </c>
      <c r="B479" t="s">
        <v>21</v>
      </c>
      <c r="C479" t="s">
        <v>41</v>
      </c>
      <c r="D479">
        <v>2423</v>
      </c>
      <c r="E479">
        <v>58</v>
      </c>
      <c r="F479">
        <v>42</v>
      </c>
      <c r="G479">
        <v>2023</v>
      </c>
      <c r="H479">
        <v>384486</v>
      </c>
      <c r="I479" t="s">
        <v>48</v>
      </c>
      <c r="J479" t="s">
        <v>62</v>
      </c>
    </row>
    <row r="480" spans="1:10" x14ac:dyDescent="0.45">
      <c r="A480">
        <v>479</v>
      </c>
      <c r="B480" t="s">
        <v>12</v>
      </c>
      <c r="C480" t="s">
        <v>32</v>
      </c>
      <c r="D480">
        <v>973</v>
      </c>
      <c r="E480">
        <v>71</v>
      </c>
      <c r="F480">
        <v>29</v>
      </c>
      <c r="G480">
        <v>2020</v>
      </c>
      <c r="H480">
        <v>392303</v>
      </c>
      <c r="I480" t="s">
        <v>48</v>
      </c>
      <c r="J480" t="s">
        <v>50</v>
      </c>
    </row>
    <row r="481" spans="1:10" x14ac:dyDescent="0.45">
      <c r="A481">
        <v>480</v>
      </c>
      <c r="B481" t="s">
        <v>24</v>
      </c>
      <c r="C481" t="s">
        <v>44</v>
      </c>
      <c r="D481">
        <v>312</v>
      </c>
      <c r="E481">
        <v>44</v>
      </c>
      <c r="F481">
        <v>56</v>
      </c>
      <c r="G481">
        <v>2023</v>
      </c>
      <c r="H481">
        <v>564053</v>
      </c>
      <c r="I481" t="s">
        <v>49</v>
      </c>
      <c r="J481" t="s">
        <v>54</v>
      </c>
    </row>
    <row r="482" spans="1:10" x14ac:dyDescent="0.45">
      <c r="A482">
        <v>481</v>
      </c>
      <c r="B482" t="s">
        <v>20</v>
      </c>
      <c r="C482" t="s">
        <v>40</v>
      </c>
      <c r="D482">
        <v>400</v>
      </c>
      <c r="E482">
        <v>52</v>
      </c>
      <c r="F482">
        <v>48</v>
      </c>
      <c r="G482">
        <v>2025</v>
      </c>
      <c r="H482">
        <v>343828</v>
      </c>
      <c r="I482" t="s">
        <v>48</v>
      </c>
      <c r="J482" t="s">
        <v>51</v>
      </c>
    </row>
    <row r="483" spans="1:10" x14ac:dyDescent="0.45">
      <c r="A483">
        <v>482</v>
      </c>
      <c r="B483" t="s">
        <v>15</v>
      </c>
      <c r="C483" t="s">
        <v>35</v>
      </c>
      <c r="D483">
        <v>3913</v>
      </c>
      <c r="E483">
        <v>74</v>
      </c>
      <c r="F483">
        <v>26</v>
      </c>
      <c r="G483">
        <v>2022</v>
      </c>
      <c r="H483">
        <v>186849</v>
      </c>
      <c r="I483" t="s">
        <v>48</v>
      </c>
      <c r="J483" t="s">
        <v>62</v>
      </c>
    </row>
    <row r="484" spans="1:10" x14ac:dyDescent="0.45">
      <c r="A484">
        <v>483</v>
      </c>
      <c r="B484" t="s">
        <v>13</v>
      </c>
      <c r="C484" t="s">
        <v>33</v>
      </c>
      <c r="D484">
        <v>1307</v>
      </c>
      <c r="E484">
        <v>80</v>
      </c>
      <c r="F484">
        <v>20</v>
      </c>
      <c r="G484">
        <v>2024</v>
      </c>
      <c r="H484">
        <v>444811</v>
      </c>
      <c r="I484" t="s">
        <v>48</v>
      </c>
      <c r="J484" t="s">
        <v>64</v>
      </c>
    </row>
    <row r="485" spans="1:10" x14ac:dyDescent="0.45">
      <c r="A485">
        <v>484</v>
      </c>
      <c r="B485" t="s">
        <v>26</v>
      </c>
      <c r="C485" t="s">
        <v>46</v>
      </c>
      <c r="D485">
        <v>306</v>
      </c>
      <c r="E485">
        <v>49</v>
      </c>
      <c r="F485">
        <v>51</v>
      </c>
      <c r="G485">
        <v>2020</v>
      </c>
      <c r="H485">
        <v>490771</v>
      </c>
      <c r="I485" t="s">
        <v>49</v>
      </c>
      <c r="J485" t="s">
        <v>58</v>
      </c>
    </row>
    <row r="486" spans="1:10" x14ac:dyDescent="0.45">
      <c r="A486">
        <v>485</v>
      </c>
      <c r="B486" t="s">
        <v>26</v>
      </c>
      <c r="C486" t="s">
        <v>46</v>
      </c>
      <c r="D486">
        <v>4664</v>
      </c>
      <c r="E486">
        <v>64</v>
      </c>
      <c r="F486">
        <v>36</v>
      </c>
      <c r="G486">
        <v>2021</v>
      </c>
      <c r="H486">
        <v>303321</v>
      </c>
      <c r="I486" t="s">
        <v>48</v>
      </c>
      <c r="J486" t="s">
        <v>57</v>
      </c>
    </row>
    <row r="487" spans="1:10" x14ac:dyDescent="0.45">
      <c r="A487">
        <v>486</v>
      </c>
      <c r="B487" t="s">
        <v>22</v>
      </c>
      <c r="C487" t="s">
        <v>42</v>
      </c>
      <c r="D487">
        <v>2540</v>
      </c>
      <c r="E487">
        <v>61</v>
      </c>
      <c r="F487">
        <v>39</v>
      </c>
      <c r="G487">
        <v>2020</v>
      </c>
      <c r="H487">
        <v>258680</v>
      </c>
      <c r="I487" t="s">
        <v>48</v>
      </c>
      <c r="J487" t="s">
        <v>57</v>
      </c>
    </row>
    <row r="488" spans="1:10" x14ac:dyDescent="0.45">
      <c r="A488">
        <v>487</v>
      </c>
      <c r="B488" t="s">
        <v>28</v>
      </c>
      <c r="C488" t="s">
        <v>43</v>
      </c>
      <c r="D488">
        <v>1905</v>
      </c>
      <c r="E488">
        <v>73</v>
      </c>
      <c r="F488">
        <v>27</v>
      </c>
      <c r="G488">
        <v>2020</v>
      </c>
      <c r="H488">
        <v>456671</v>
      </c>
      <c r="I488" t="s">
        <v>48</v>
      </c>
      <c r="J488" t="s">
        <v>63</v>
      </c>
    </row>
    <row r="489" spans="1:10" x14ac:dyDescent="0.45">
      <c r="A489">
        <v>488</v>
      </c>
      <c r="B489" t="s">
        <v>18</v>
      </c>
      <c r="C489" t="s">
        <v>38</v>
      </c>
      <c r="D489">
        <v>4135</v>
      </c>
      <c r="E489">
        <v>78</v>
      </c>
      <c r="F489">
        <v>22</v>
      </c>
      <c r="G489">
        <v>2021</v>
      </c>
      <c r="H489">
        <v>205506</v>
      </c>
      <c r="I489" t="s">
        <v>48</v>
      </c>
      <c r="J489" t="s">
        <v>57</v>
      </c>
    </row>
    <row r="490" spans="1:10" x14ac:dyDescent="0.45">
      <c r="A490">
        <v>489</v>
      </c>
      <c r="B490" t="s">
        <v>19</v>
      </c>
      <c r="C490" t="s">
        <v>39</v>
      </c>
      <c r="D490">
        <v>4984</v>
      </c>
      <c r="E490">
        <v>76</v>
      </c>
      <c r="F490">
        <v>24</v>
      </c>
      <c r="G490">
        <v>2024</v>
      </c>
      <c r="H490">
        <v>348645</v>
      </c>
      <c r="I490" t="s">
        <v>48</v>
      </c>
      <c r="J490" t="s">
        <v>52</v>
      </c>
    </row>
    <row r="491" spans="1:10" x14ac:dyDescent="0.45">
      <c r="A491">
        <v>490</v>
      </c>
      <c r="B491" t="s">
        <v>12</v>
      </c>
      <c r="C491" t="s">
        <v>32</v>
      </c>
      <c r="D491">
        <v>3086</v>
      </c>
      <c r="E491">
        <v>51</v>
      </c>
      <c r="F491">
        <v>49</v>
      </c>
      <c r="G491">
        <v>2023</v>
      </c>
      <c r="H491">
        <v>446990</v>
      </c>
      <c r="I491" t="s">
        <v>48</v>
      </c>
      <c r="J491" t="s">
        <v>57</v>
      </c>
    </row>
    <row r="492" spans="1:10" x14ac:dyDescent="0.45">
      <c r="A492">
        <v>491</v>
      </c>
      <c r="B492" t="s">
        <v>28</v>
      </c>
      <c r="C492" t="s">
        <v>43</v>
      </c>
      <c r="D492">
        <v>2915</v>
      </c>
      <c r="E492">
        <v>62</v>
      </c>
      <c r="F492">
        <v>38</v>
      </c>
      <c r="G492">
        <v>2024</v>
      </c>
      <c r="H492">
        <v>204277</v>
      </c>
      <c r="I492" t="s">
        <v>48</v>
      </c>
      <c r="J492" t="s">
        <v>61</v>
      </c>
    </row>
    <row r="493" spans="1:10" x14ac:dyDescent="0.45">
      <c r="A493">
        <v>492</v>
      </c>
      <c r="B493" t="s">
        <v>20</v>
      </c>
      <c r="C493" t="s">
        <v>40</v>
      </c>
      <c r="D493">
        <v>4842</v>
      </c>
      <c r="E493">
        <v>53</v>
      </c>
      <c r="F493">
        <v>47</v>
      </c>
      <c r="G493">
        <v>2021</v>
      </c>
      <c r="H493">
        <v>346419</v>
      </c>
      <c r="I493" t="s">
        <v>48</v>
      </c>
      <c r="J493" t="s">
        <v>64</v>
      </c>
    </row>
    <row r="494" spans="1:10" x14ac:dyDescent="0.45">
      <c r="A494">
        <v>493</v>
      </c>
      <c r="B494" t="s">
        <v>18</v>
      </c>
      <c r="C494" t="s">
        <v>38</v>
      </c>
      <c r="D494">
        <v>2955</v>
      </c>
      <c r="E494">
        <v>65</v>
      </c>
      <c r="F494">
        <v>35</v>
      </c>
      <c r="G494">
        <v>2025</v>
      </c>
      <c r="H494">
        <v>447980</v>
      </c>
      <c r="I494" t="s">
        <v>48</v>
      </c>
      <c r="J494" t="s">
        <v>62</v>
      </c>
    </row>
    <row r="495" spans="1:10" x14ac:dyDescent="0.45">
      <c r="A495">
        <v>494</v>
      </c>
      <c r="B495" t="s">
        <v>21</v>
      </c>
      <c r="C495" t="s">
        <v>41</v>
      </c>
      <c r="D495">
        <v>4979</v>
      </c>
      <c r="E495">
        <v>85</v>
      </c>
      <c r="F495">
        <v>15</v>
      </c>
      <c r="G495">
        <v>2023</v>
      </c>
      <c r="H495">
        <v>279851</v>
      </c>
      <c r="I495" t="s">
        <v>48</v>
      </c>
      <c r="J495" t="s">
        <v>56</v>
      </c>
    </row>
    <row r="496" spans="1:10" x14ac:dyDescent="0.45">
      <c r="A496">
        <v>495</v>
      </c>
      <c r="B496" t="s">
        <v>22</v>
      </c>
      <c r="C496" t="s">
        <v>42</v>
      </c>
      <c r="D496">
        <v>2696</v>
      </c>
      <c r="E496">
        <v>62</v>
      </c>
      <c r="F496">
        <v>38</v>
      </c>
      <c r="G496">
        <v>2024</v>
      </c>
      <c r="H496">
        <v>552627</v>
      </c>
      <c r="I496" t="s">
        <v>48</v>
      </c>
      <c r="J496" t="s">
        <v>62</v>
      </c>
    </row>
    <row r="497" spans="1:10" x14ac:dyDescent="0.45">
      <c r="A497">
        <v>496</v>
      </c>
      <c r="B497" t="s">
        <v>16</v>
      </c>
      <c r="C497" t="s">
        <v>36</v>
      </c>
      <c r="D497">
        <v>2304</v>
      </c>
      <c r="E497">
        <v>42</v>
      </c>
      <c r="F497">
        <v>58</v>
      </c>
      <c r="G497">
        <v>2020</v>
      </c>
      <c r="H497">
        <v>495471</v>
      </c>
      <c r="I497" t="s">
        <v>49</v>
      </c>
      <c r="J497" t="s">
        <v>51</v>
      </c>
    </row>
    <row r="498" spans="1:10" x14ac:dyDescent="0.45">
      <c r="A498">
        <v>497</v>
      </c>
      <c r="B498" t="s">
        <v>21</v>
      </c>
      <c r="C498" t="s">
        <v>41</v>
      </c>
      <c r="D498">
        <v>708</v>
      </c>
      <c r="E498">
        <v>46</v>
      </c>
      <c r="F498">
        <v>54</v>
      </c>
      <c r="G498">
        <v>2023</v>
      </c>
      <c r="H498">
        <v>545770</v>
      </c>
      <c r="I498" t="s">
        <v>49</v>
      </c>
      <c r="J498" t="s">
        <v>55</v>
      </c>
    </row>
    <row r="499" spans="1:10" x14ac:dyDescent="0.45">
      <c r="A499">
        <v>498</v>
      </c>
      <c r="B499" t="s">
        <v>10</v>
      </c>
      <c r="C499" t="s">
        <v>30</v>
      </c>
      <c r="D499">
        <v>4642</v>
      </c>
      <c r="E499">
        <v>59</v>
      </c>
      <c r="F499">
        <v>41</v>
      </c>
      <c r="G499">
        <v>2023</v>
      </c>
      <c r="H499">
        <v>596645</v>
      </c>
      <c r="I499" t="s">
        <v>48</v>
      </c>
      <c r="J499" t="s">
        <v>63</v>
      </c>
    </row>
    <row r="500" spans="1:10" x14ac:dyDescent="0.45">
      <c r="A500">
        <v>499</v>
      </c>
      <c r="B500" t="s">
        <v>22</v>
      </c>
      <c r="C500" t="s">
        <v>42</v>
      </c>
      <c r="D500">
        <v>3012</v>
      </c>
      <c r="E500">
        <v>40</v>
      </c>
      <c r="F500">
        <v>60</v>
      </c>
      <c r="G500">
        <v>2024</v>
      </c>
      <c r="H500">
        <v>201251</v>
      </c>
      <c r="I500" t="s">
        <v>49</v>
      </c>
      <c r="J500" t="s">
        <v>55</v>
      </c>
    </row>
    <row r="501" spans="1:10" x14ac:dyDescent="0.45">
      <c r="A501">
        <v>500</v>
      </c>
      <c r="B501" t="s">
        <v>11</v>
      </c>
      <c r="C501" t="s">
        <v>31</v>
      </c>
      <c r="D501">
        <v>1575</v>
      </c>
      <c r="E501">
        <v>42</v>
      </c>
      <c r="F501">
        <v>58</v>
      </c>
      <c r="G501">
        <v>2023</v>
      </c>
      <c r="H501">
        <v>369944</v>
      </c>
      <c r="I501" t="s">
        <v>49</v>
      </c>
      <c r="J501"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BEBED-B359-4483-9385-F40AA8205474}">
  <dimension ref="A3:B22"/>
  <sheetViews>
    <sheetView workbookViewId="0">
      <selection activeCell="B4" sqref="B4"/>
    </sheetView>
  </sheetViews>
  <sheetFormatPr defaultRowHeight="14.25" x14ac:dyDescent="0.45"/>
  <cols>
    <col min="1" max="1" width="14.33203125" bestFit="1" customWidth="1"/>
    <col min="2" max="2" width="23.3984375" bestFit="1" customWidth="1"/>
  </cols>
  <sheetData>
    <row r="3" spans="1:2" x14ac:dyDescent="0.45">
      <c r="A3" s="2" t="s">
        <v>65</v>
      </c>
      <c r="B3" t="s">
        <v>69</v>
      </c>
    </row>
    <row r="4" spans="1:2" x14ac:dyDescent="0.45">
      <c r="A4" s="3" t="s">
        <v>34</v>
      </c>
      <c r="B4">
        <v>59.5</v>
      </c>
    </row>
    <row r="5" spans="1:2" x14ac:dyDescent="0.45">
      <c r="A5" s="3" t="s">
        <v>44</v>
      </c>
      <c r="B5">
        <v>66.040000000000006</v>
      </c>
    </row>
    <row r="6" spans="1:2" x14ac:dyDescent="0.45">
      <c r="A6" s="3" t="s">
        <v>38</v>
      </c>
      <c r="B6">
        <v>63.304347826086953</v>
      </c>
    </row>
    <row r="7" spans="1:2" x14ac:dyDescent="0.45">
      <c r="A7" s="3" t="s">
        <v>47</v>
      </c>
      <c r="B7">
        <v>62.533333333333331</v>
      </c>
    </row>
    <row r="8" spans="1:2" x14ac:dyDescent="0.45">
      <c r="A8" s="3" t="s">
        <v>40</v>
      </c>
      <c r="B8">
        <v>60.64</v>
      </c>
    </row>
    <row r="9" spans="1:2" x14ac:dyDescent="0.45">
      <c r="A9" s="3" t="s">
        <v>33</v>
      </c>
      <c r="B9">
        <v>65.107142857142861</v>
      </c>
    </row>
    <row r="10" spans="1:2" x14ac:dyDescent="0.45">
      <c r="A10" s="3" t="s">
        <v>37</v>
      </c>
      <c r="B10">
        <v>58.333333333333336</v>
      </c>
    </row>
    <row r="11" spans="1:2" x14ac:dyDescent="0.45">
      <c r="A11" s="3" t="s">
        <v>32</v>
      </c>
      <c r="B11">
        <v>63.032258064516128</v>
      </c>
    </row>
    <row r="12" spans="1:2" x14ac:dyDescent="0.45">
      <c r="A12" s="3" t="s">
        <v>43</v>
      </c>
      <c r="B12">
        <v>61.4</v>
      </c>
    </row>
    <row r="13" spans="1:2" x14ac:dyDescent="0.45">
      <c r="A13" s="3" t="s">
        <v>46</v>
      </c>
      <c r="B13">
        <v>64.029411764705884</v>
      </c>
    </row>
    <row r="14" spans="1:2" x14ac:dyDescent="0.45">
      <c r="A14" s="3" t="s">
        <v>39</v>
      </c>
      <c r="B14">
        <v>62.52</v>
      </c>
    </row>
    <row r="15" spans="1:2" x14ac:dyDescent="0.45">
      <c r="A15" s="3" t="s">
        <v>30</v>
      </c>
      <c r="B15">
        <v>65.44</v>
      </c>
    </row>
    <row r="16" spans="1:2" x14ac:dyDescent="0.45">
      <c r="A16" s="3" t="s">
        <v>41</v>
      </c>
      <c r="B16">
        <v>63.638888888888886</v>
      </c>
    </row>
    <row r="17" spans="1:2" x14ac:dyDescent="0.45">
      <c r="A17" s="3" t="s">
        <v>45</v>
      </c>
      <c r="B17">
        <v>64.521739130434781</v>
      </c>
    </row>
    <row r="18" spans="1:2" x14ac:dyDescent="0.45">
      <c r="A18" s="3" t="s">
        <v>42</v>
      </c>
      <c r="B18">
        <v>60.9</v>
      </c>
    </row>
    <row r="19" spans="1:2" x14ac:dyDescent="0.45">
      <c r="A19" s="3" t="s">
        <v>31</v>
      </c>
      <c r="B19">
        <v>59.925925925925924</v>
      </c>
    </row>
    <row r="20" spans="1:2" x14ac:dyDescent="0.45">
      <c r="A20" s="3" t="s">
        <v>35</v>
      </c>
      <c r="B20">
        <v>60.578947368421055</v>
      </c>
    </row>
    <row r="21" spans="1:2" x14ac:dyDescent="0.45">
      <c r="A21" s="3" t="s">
        <v>36</v>
      </c>
      <c r="B21">
        <v>64.111111111111114</v>
      </c>
    </row>
    <row r="22" spans="1:2" x14ac:dyDescent="0.45">
      <c r="A22" s="3" t="s">
        <v>66</v>
      </c>
      <c r="B22">
        <v>62.643999999999998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00FAA-97F0-4001-B284-3CBE3419775F}">
  <dimension ref="A3:B19"/>
  <sheetViews>
    <sheetView workbookViewId="0">
      <selection activeCell="A4" sqref="A4:B18"/>
    </sheetView>
  </sheetViews>
  <sheetFormatPr defaultRowHeight="14.25" x14ac:dyDescent="0.45"/>
  <cols>
    <col min="1" max="1" width="12.06640625" bestFit="1" customWidth="1"/>
    <col min="2" max="2" width="23.3984375" bestFit="1" customWidth="1"/>
  </cols>
  <sheetData>
    <row r="3" spans="1:2" x14ac:dyDescent="0.45">
      <c r="A3" s="2" t="s">
        <v>65</v>
      </c>
      <c r="B3" t="s">
        <v>69</v>
      </c>
    </row>
    <row r="4" spans="1:2" x14ac:dyDescent="0.45">
      <c r="A4" s="3" t="s">
        <v>61</v>
      </c>
      <c r="B4">
        <v>64.416666666666671</v>
      </c>
    </row>
    <row r="5" spans="1:2" x14ac:dyDescent="0.45">
      <c r="A5" s="3" t="s">
        <v>58</v>
      </c>
      <c r="B5">
        <v>61.416666666666664</v>
      </c>
    </row>
    <row r="6" spans="1:2" x14ac:dyDescent="0.45">
      <c r="A6" s="3" t="s">
        <v>52</v>
      </c>
      <c r="B6">
        <v>61.413793103448278</v>
      </c>
    </row>
    <row r="7" spans="1:2" x14ac:dyDescent="0.45">
      <c r="A7" s="3" t="s">
        <v>53</v>
      </c>
      <c r="B7">
        <v>60.92307692307692</v>
      </c>
    </row>
    <row r="8" spans="1:2" x14ac:dyDescent="0.45">
      <c r="A8" s="3" t="s">
        <v>50</v>
      </c>
      <c r="B8">
        <v>64.322580645161295</v>
      </c>
    </row>
    <row r="9" spans="1:2" x14ac:dyDescent="0.45">
      <c r="A9" s="3" t="s">
        <v>57</v>
      </c>
      <c r="B9">
        <v>62.825000000000003</v>
      </c>
    </row>
    <row r="10" spans="1:2" x14ac:dyDescent="0.45">
      <c r="A10" s="3" t="s">
        <v>51</v>
      </c>
      <c r="B10">
        <v>60.741935483870968</v>
      </c>
    </row>
    <row r="11" spans="1:2" x14ac:dyDescent="0.45">
      <c r="A11" s="3" t="s">
        <v>62</v>
      </c>
      <c r="B11">
        <v>62.8</v>
      </c>
    </row>
    <row r="12" spans="1:2" x14ac:dyDescent="0.45">
      <c r="A12" s="3" t="s">
        <v>59</v>
      </c>
      <c r="B12">
        <v>67.314285714285717</v>
      </c>
    </row>
    <row r="13" spans="1:2" x14ac:dyDescent="0.45">
      <c r="A13" s="3" t="s">
        <v>63</v>
      </c>
      <c r="B13">
        <v>62.235294117647058</v>
      </c>
    </row>
    <row r="14" spans="1:2" x14ac:dyDescent="0.45">
      <c r="A14" s="3" t="s">
        <v>56</v>
      </c>
      <c r="B14">
        <v>63.037037037037038</v>
      </c>
    </row>
    <row r="15" spans="1:2" x14ac:dyDescent="0.45">
      <c r="A15" s="3" t="s">
        <v>64</v>
      </c>
      <c r="B15">
        <v>63.368421052631582</v>
      </c>
    </row>
    <row r="16" spans="1:2" x14ac:dyDescent="0.45">
      <c r="A16" s="3" t="s">
        <v>55</v>
      </c>
      <c r="B16">
        <v>58.096774193548384</v>
      </c>
    </row>
    <row r="17" spans="1:2" x14ac:dyDescent="0.45">
      <c r="A17" s="3" t="s">
        <v>60</v>
      </c>
      <c r="B17">
        <v>63</v>
      </c>
    </row>
    <row r="18" spans="1:2" x14ac:dyDescent="0.45">
      <c r="A18" s="3" t="s">
        <v>54</v>
      </c>
      <c r="B18">
        <v>63.3</v>
      </c>
    </row>
    <row r="19" spans="1:2" x14ac:dyDescent="0.45">
      <c r="A19" s="3" t="s">
        <v>66</v>
      </c>
      <c r="B19">
        <v>62.643999999999998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21262-D4ED-4A7C-BFAB-62DF962F7F24}">
  <dimension ref="A3:C41"/>
  <sheetViews>
    <sheetView workbookViewId="0">
      <selection activeCell="A3" sqref="A3"/>
    </sheetView>
  </sheetViews>
  <sheetFormatPr defaultRowHeight="14.25" x14ac:dyDescent="0.45"/>
  <cols>
    <col min="1" max="1" width="14.33203125" bestFit="1" customWidth="1"/>
    <col min="2" max="2" width="23.06640625" bestFit="1" customWidth="1"/>
    <col min="3" max="4" width="17.6640625" bestFit="1" customWidth="1"/>
  </cols>
  <sheetData>
    <row r="3" spans="1:3" x14ac:dyDescent="0.45">
      <c r="A3" s="2" t="s">
        <v>65</v>
      </c>
      <c r="B3" t="s">
        <v>67</v>
      </c>
      <c r="C3" t="s">
        <v>68</v>
      </c>
    </row>
    <row r="4" spans="1:3" x14ac:dyDescent="0.45">
      <c r="A4" s="3" t="s">
        <v>34</v>
      </c>
      <c r="B4">
        <v>65576</v>
      </c>
      <c r="C4">
        <v>1134</v>
      </c>
    </row>
    <row r="5" spans="1:3" x14ac:dyDescent="0.45">
      <c r="A5" s="3" t="s">
        <v>44</v>
      </c>
      <c r="B5">
        <v>59640</v>
      </c>
      <c r="C5">
        <v>849</v>
      </c>
    </row>
    <row r="6" spans="1:3" x14ac:dyDescent="0.45">
      <c r="A6" s="3" t="s">
        <v>38</v>
      </c>
      <c r="B6">
        <v>64563</v>
      </c>
      <c r="C6">
        <v>844</v>
      </c>
    </row>
    <row r="7" spans="1:3" x14ac:dyDescent="0.45">
      <c r="A7" s="3" t="s">
        <v>47</v>
      </c>
      <c r="B7">
        <v>42665</v>
      </c>
      <c r="C7">
        <v>562</v>
      </c>
    </row>
    <row r="8" spans="1:3" x14ac:dyDescent="0.45">
      <c r="A8" s="3" t="s">
        <v>40</v>
      </c>
      <c r="B8">
        <v>60190</v>
      </c>
      <c r="C8">
        <v>984</v>
      </c>
    </row>
    <row r="9" spans="1:3" x14ac:dyDescent="0.45">
      <c r="A9" s="3" t="s">
        <v>33</v>
      </c>
      <c r="B9">
        <v>74577</v>
      </c>
      <c r="C9">
        <v>977</v>
      </c>
    </row>
    <row r="10" spans="1:3" x14ac:dyDescent="0.45">
      <c r="A10" s="3" t="s">
        <v>37</v>
      </c>
      <c r="B10">
        <v>54266</v>
      </c>
      <c r="C10">
        <v>875</v>
      </c>
    </row>
    <row r="11" spans="1:3" x14ac:dyDescent="0.45">
      <c r="A11" s="3" t="s">
        <v>32</v>
      </c>
      <c r="B11">
        <v>85248</v>
      </c>
      <c r="C11">
        <v>1146</v>
      </c>
    </row>
    <row r="12" spans="1:3" x14ac:dyDescent="0.45">
      <c r="A12" s="3" t="s">
        <v>43</v>
      </c>
      <c r="B12">
        <v>124157</v>
      </c>
      <c r="C12">
        <v>1930</v>
      </c>
    </row>
    <row r="13" spans="1:3" x14ac:dyDescent="0.45">
      <c r="A13" s="3" t="s">
        <v>46</v>
      </c>
      <c r="B13">
        <v>70337</v>
      </c>
      <c r="C13">
        <v>1223</v>
      </c>
    </row>
    <row r="14" spans="1:3" x14ac:dyDescent="0.45">
      <c r="A14" s="3" t="s">
        <v>39</v>
      </c>
      <c r="B14">
        <v>68112</v>
      </c>
      <c r="C14">
        <v>937</v>
      </c>
    </row>
    <row r="15" spans="1:3" x14ac:dyDescent="0.45">
      <c r="A15" s="3" t="s">
        <v>30</v>
      </c>
      <c r="B15">
        <v>65609</v>
      </c>
      <c r="C15">
        <v>864</v>
      </c>
    </row>
    <row r="16" spans="1:3" x14ac:dyDescent="0.45">
      <c r="A16" s="3" t="s">
        <v>41</v>
      </c>
      <c r="B16">
        <v>93482</v>
      </c>
      <c r="C16">
        <v>1309</v>
      </c>
    </row>
    <row r="17" spans="1:3" x14ac:dyDescent="0.45">
      <c r="A17" s="3" t="s">
        <v>45</v>
      </c>
      <c r="B17">
        <v>57890</v>
      </c>
      <c r="C17">
        <v>816</v>
      </c>
    </row>
    <row r="18" spans="1:3" x14ac:dyDescent="0.45">
      <c r="A18" s="3" t="s">
        <v>42</v>
      </c>
      <c r="B18">
        <v>50798</v>
      </c>
      <c r="C18">
        <v>782</v>
      </c>
    </row>
    <row r="19" spans="1:3" x14ac:dyDescent="0.45">
      <c r="A19" s="3" t="s">
        <v>31</v>
      </c>
      <c r="B19">
        <v>58264</v>
      </c>
      <c r="C19">
        <v>1082</v>
      </c>
    </row>
    <row r="20" spans="1:3" x14ac:dyDescent="0.45">
      <c r="A20" s="3" t="s">
        <v>35</v>
      </c>
      <c r="B20">
        <v>50946</v>
      </c>
      <c r="C20">
        <v>749</v>
      </c>
    </row>
    <row r="21" spans="1:3" x14ac:dyDescent="0.45">
      <c r="A21" s="3" t="s">
        <v>36</v>
      </c>
      <c r="B21">
        <v>118657</v>
      </c>
      <c r="C21">
        <v>1615</v>
      </c>
    </row>
    <row r="22" spans="1:3" x14ac:dyDescent="0.45">
      <c r="A22" s="3" t="s">
        <v>66</v>
      </c>
      <c r="B22">
        <v>1264977</v>
      </c>
      <c r="C22">
        <v>18678</v>
      </c>
    </row>
    <row r="24" spans="1:3" x14ac:dyDescent="0.45">
      <c r="A24" s="3"/>
    </row>
    <row r="25" spans="1:3" x14ac:dyDescent="0.45">
      <c r="A25" s="3"/>
    </row>
    <row r="26" spans="1:3" x14ac:dyDescent="0.45">
      <c r="A26" s="3"/>
    </row>
    <row r="27" spans="1:3" x14ac:dyDescent="0.45">
      <c r="A27" s="3"/>
    </row>
    <row r="28" spans="1:3" x14ac:dyDescent="0.45">
      <c r="A28" s="3"/>
    </row>
    <row r="29" spans="1:3" x14ac:dyDescent="0.45">
      <c r="A29" s="3"/>
    </row>
    <row r="30" spans="1:3" x14ac:dyDescent="0.45">
      <c r="A30" s="3"/>
    </row>
    <row r="31" spans="1:3" x14ac:dyDescent="0.45">
      <c r="A31" s="3"/>
    </row>
    <row r="32" spans="1:3" x14ac:dyDescent="0.45">
      <c r="A32" s="3"/>
    </row>
    <row r="33" spans="1:1" x14ac:dyDescent="0.45">
      <c r="A33" s="3"/>
    </row>
    <row r="34" spans="1:1" x14ac:dyDescent="0.45">
      <c r="A34" s="3"/>
    </row>
    <row r="35" spans="1:1" x14ac:dyDescent="0.45">
      <c r="A35" s="3"/>
    </row>
    <row r="36" spans="1:1" x14ac:dyDescent="0.45">
      <c r="A36" s="3"/>
    </row>
    <row r="37" spans="1:1" x14ac:dyDescent="0.45">
      <c r="A37" s="3"/>
    </row>
    <row r="38" spans="1:1" x14ac:dyDescent="0.45">
      <c r="A38" s="3"/>
    </row>
    <row r="39" spans="1:1" x14ac:dyDescent="0.45">
      <c r="A39" s="3"/>
    </row>
    <row r="40" spans="1:1" x14ac:dyDescent="0.45">
      <c r="A40" s="3"/>
    </row>
    <row r="41" spans="1:1" x14ac:dyDescent="0.45">
      <c r="A41" s="3"/>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06913-082B-4C25-BE2B-535D46E008D9}">
  <dimension ref="A3:B18"/>
  <sheetViews>
    <sheetView topLeftCell="A3" workbookViewId="0">
      <selection activeCell="B3" sqref="B3"/>
    </sheetView>
  </sheetViews>
  <sheetFormatPr defaultRowHeight="14.25" x14ac:dyDescent="0.45"/>
  <cols>
    <col min="1" max="1" width="12.06640625" bestFit="1" customWidth="1"/>
    <col min="2" max="2" width="23.3984375" bestFit="1" customWidth="1"/>
    <col min="3" max="3" width="15.1328125" bestFit="1" customWidth="1"/>
  </cols>
  <sheetData>
    <row r="3" spans="1:2" x14ac:dyDescent="0.45">
      <c r="A3" s="2" t="s">
        <v>65</v>
      </c>
      <c r="B3" t="s">
        <v>69</v>
      </c>
    </row>
    <row r="4" spans="1:2" x14ac:dyDescent="0.45">
      <c r="A4" s="3">
        <v>2020</v>
      </c>
      <c r="B4">
        <v>61.414634146341463</v>
      </c>
    </row>
    <row r="5" spans="1:2" x14ac:dyDescent="0.45">
      <c r="A5" s="3">
        <v>2021</v>
      </c>
      <c r="B5">
        <v>63.922077922077925</v>
      </c>
    </row>
    <row r="6" spans="1:2" x14ac:dyDescent="0.45">
      <c r="A6" s="3">
        <v>2022</v>
      </c>
      <c r="B6">
        <v>63.357142857142854</v>
      </c>
    </row>
    <row r="7" spans="1:2" x14ac:dyDescent="0.45">
      <c r="A7" s="3">
        <v>2023</v>
      </c>
      <c r="B7">
        <v>62</v>
      </c>
    </row>
    <row r="8" spans="1:2" x14ac:dyDescent="0.45">
      <c r="A8" s="3">
        <v>2024</v>
      </c>
      <c r="B8">
        <v>62.941860465116278</v>
      </c>
    </row>
    <row r="9" spans="1:2" x14ac:dyDescent="0.45">
      <c r="A9" s="3">
        <v>2025</v>
      </c>
      <c r="B9">
        <v>62.516853932584269</v>
      </c>
    </row>
    <row r="10" spans="1:2" x14ac:dyDescent="0.45">
      <c r="A10" s="3" t="s">
        <v>66</v>
      </c>
      <c r="B10">
        <v>62.643999999999998</v>
      </c>
    </row>
    <row r="13" spans="1:2" x14ac:dyDescent="0.45">
      <c r="A13" s="3"/>
    </row>
    <row r="14" spans="1:2" x14ac:dyDescent="0.45">
      <c r="A14" s="3"/>
    </row>
    <row r="15" spans="1:2" x14ac:dyDescent="0.45">
      <c r="A15" s="3"/>
    </row>
    <row r="16" spans="1:2" x14ac:dyDescent="0.45">
      <c r="A16" s="3"/>
    </row>
    <row r="17" spans="1:1" x14ac:dyDescent="0.45">
      <c r="A17" s="3"/>
    </row>
    <row r="18" spans="1:1" x14ac:dyDescent="0.45">
      <c r="A18" s="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FA7C1-E9E7-4F92-A60F-56A92EFA5F38}">
  <dimension ref="A3:B19"/>
  <sheetViews>
    <sheetView workbookViewId="0">
      <selection activeCell="A4" sqref="A4:B18"/>
    </sheetView>
  </sheetViews>
  <sheetFormatPr defaultRowHeight="14.25" x14ac:dyDescent="0.45"/>
  <cols>
    <col min="1" max="1" width="12.06640625" bestFit="1" customWidth="1"/>
    <col min="2" max="2" width="23.06640625" bestFit="1" customWidth="1"/>
    <col min="3" max="3" width="20.73046875" bestFit="1" customWidth="1"/>
  </cols>
  <sheetData>
    <row r="3" spans="1:2" x14ac:dyDescent="0.45">
      <c r="A3" s="2" t="s">
        <v>65</v>
      </c>
      <c r="B3" t="s">
        <v>67</v>
      </c>
    </row>
    <row r="4" spans="1:2" x14ac:dyDescent="0.45">
      <c r="A4" s="3" t="s">
        <v>61</v>
      </c>
      <c r="B4">
        <v>94472</v>
      </c>
    </row>
    <row r="5" spans="1:2" x14ac:dyDescent="0.45">
      <c r="A5" s="3" t="s">
        <v>58</v>
      </c>
      <c r="B5">
        <v>89024</v>
      </c>
    </row>
    <row r="6" spans="1:2" x14ac:dyDescent="0.45">
      <c r="A6" s="3" t="s">
        <v>52</v>
      </c>
      <c r="B6">
        <v>83134</v>
      </c>
    </row>
    <row r="7" spans="1:2" x14ac:dyDescent="0.45">
      <c r="A7" s="3" t="s">
        <v>53</v>
      </c>
      <c r="B7">
        <v>96005</v>
      </c>
    </row>
    <row r="8" spans="1:2" x14ac:dyDescent="0.45">
      <c r="A8" s="3" t="s">
        <v>50</v>
      </c>
      <c r="B8">
        <v>70141</v>
      </c>
    </row>
    <row r="9" spans="1:2" x14ac:dyDescent="0.45">
      <c r="A9" s="3" t="s">
        <v>57</v>
      </c>
      <c r="B9">
        <v>108315</v>
      </c>
    </row>
    <row r="10" spans="1:2" x14ac:dyDescent="0.45">
      <c r="A10" s="3" t="s">
        <v>51</v>
      </c>
      <c r="B10">
        <v>65200</v>
      </c>
    </row>
    <row r="11" spans="1:2" x14ac:dyDescent="0.45">
      <c r="A11" s="3" t="s">
        <v>62</v>
      </c>
      <c r="B11">
        <v>78414</v>
      </c>
    </row>
    <row r="12" spans="1:2" x14ac:dyDescent="0.45">
      <c r="A12" s="3" t="s">
        <v>59</v>
      </c>
      <c r="B12">
        <v>96105</v>
      </c>
    </row>
    <row r="13" spans="1:2" x14ac:dyDescent="0.45">
      <c r="A13" s="3" t="s">
        <v>63</v>
      </c>
      <c r="B13">
        <v>93317</v>
      </c>
    </row>
    <row r="14" spans="1:2" x14ac:dyDescent="0.45">
      <c r="A14" s="3" t="s">
        <v>56</v>
      </c>
      <c r="B14">
        <v>71692</v>
      </c>
    </row>
    <row r="15" spans="1:2" x14ac:dyDescent="0.45">
      <c r="A15" s="3" t="s">
        <v>64</v>
      </c>
      <c r="B15">
        <v>95611</v>
      </c>
    </row>
    <row r="16" spans="1:2" x14ac:dyDescent="0.45">
      <c r="A16" s="3" t="s">
        <v>55</v>
      </c>
      <c r="B16">
        <v>86256</v>
      </c>
    </row>
    <row r="17" spans="1:2" x14ac:dyDescent="0.45">
      <c r="A17" s="3" t="s">
        <v>60</v>
      </c>
      <c r="B17">
        <v>70580</v>
      </c>
    </row>
    <row r="18" spans="1:2" x14ac:dyDescent="0.45">
      <c r="A18" s="3" t="s">
        <v>54</v>
      </c>
      <c r="B18">
        <v>66711</v>
      </c>
    </row>
    <row r="19" spans="1:2" x14ac:dyDescent="0.45">
      <c r="A19" s="3" t="s">
        <v>66</v>
      </c>
      <c r="B19">
        <v>1264977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D1FAF-972C-4E78-A4EF-7E6178795146}">
  <dimension ref="A3:B9"/>
  <sheetViews>
    <sheetView workbookViewId="0">
      <selection activeCell="A4" sqref="A4:B8"/>
    </sheetView>
  </sheetViews>
  <sheetFormatPr defaultRowHeight="14.25" x14ac:dyDescent="0.45"/>
  <cols>
    <col min="1" max="1" width="12.53125" bestFit="1" customWidth="1"/>
    <col min="2" max="2" width="23.3984375" bestFit="1" customWidth="1"/>
  </cols>
  <sheetData>
    <row r="3" spans="1:2" x14ac:dyDescent="0.45">
      <c r="A3" s="2" t="s">
        <v>65</v>
      </c>
      <c r="B3" t="s">
        <v>69</v>
      </c>
    </row>
    <row r="4" spans="1:2" x14ac:dyDescent="0.45">
      <c r="A4" s="3" t="s">
        <v>44</v>
      </c>
      <c r="B4">
        <v>66.040000000000006</v>
      </c>
    </row>
    <row r="5" spans="1:2" x14ac:dyDescent="0.45">
      <c r="A5" s="3" t="s">
        <v>30</v>
      </c>
      <c r="B5">
        <v>65.44</v>
      </c>
    </row>
    <row r="6" spans="1:2" x14ac:dyDescent="0.45">
      <c r="A6" s="3" t="s">
        <v>33</v>
      </c>
      <c r="B6">
        <v>65.107142857142861</v>
      </c>
    </row>
    <row r="7" spans="1:2" x14ac:dyDescent="0.45">
      <c r="A7" s="3" t="s">
        <v>45</v>
      </c>
      <c r="B7">
        <v>64.521739130434781</v>
      </c>
    </row>
    <row r="8" spans="1:2" x14ac:dyDescent="0.45">
      <c r="A8" s="3" t="s">
        <v>36</v>
      </c>
      <c r="B8">
        <v>64.111111111111114</v>
      </c>
    </row>
    <row r="9" spans="1:2" x14ac:dyDescent="0.45">
      <c r="A9" s="3" t="s">
        <v>66</v>
      </c>
      <c r="B9">
        <v>64.924657534246577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05C8B-1F7F-4411-A20E-A155A3938A08}">
  <dimension ref="A3:C7"/>
  <sheetViews>
    <sheetView workbookViewId="0">
      <selection activeCell="A7" sqref="A7"/>
    </sheetView>
  </sheetViews>
  <sheetFormatPr defaultRowHeight="14.25" x14ac:dyDescent="0.45"/>
  <cols>
    <col min="1" max="1" width="23.3984375" bestFit="1" customWidth="1"/>
    <col min="2" max="2" width="23.06640625" bestFit="1" customWidth="1"/>
    <col min="3" max="3" width="20.73046875" bestFit="1" customWidth="1"/>
    <col min="4" max="4" width="13.796875" customWidth="1"/>
  </cols>
  <sheetData>
    <row r="3" spans="1:3" x14ac:dyDescent="0.45">
      <c r="A3" t="s">
        <v>69</v>
      </c>
      <c r="B3" t="s">
        <v>67</v>
      </c>
      <c r="C3" t="s">
        <v>70</v>
      </c>
    </row>
    <row r="4" spans="1:3" x14ac:dyDescent="0.45">
      <c r="A4">
        <v>62.643999999999998</v>
      </c>
      <c r="B4">
        <v>1264977</v>
      </c>
      <c r="C4">
        <v>37.356000000000002</v>
      </c>
    </row>
    <row r="6" spans="1:3" x14ac:dyDescent="0.45">
      <c r="A6" t="s">
        <v>71</v>
      </c>
      <c r="B6" t="s">
        <v>72</v>
      </c>
      <c r="C6" t="s">
        <v>73</v>
      </c>
    </row>
    <row r="7" spans="1:3" x14ac:dyDescent="0.45">
      <c r="A7">
        <f>GETPIVOTDATA("Average of At_Risk_Percent",$A$3)</f>
        <v>62.643999999999998</v>
      </c>
      <c r="B7">
        <f>GETPIVOTDATA("Sum of Current_Employees",$A$3)</f>
        <v>1264977</v>
      </c>
      <c r="C7">
        <f>GETPIVOTDATA("Average of Safe_Percent",$A$3)</f>
        <v>37.356000000000002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D0C1-7D63-4897-8C13-C29B1F226F1F}">
  <dimension ref="B35:N39"/>
  <sheetViews>
    <sheetView zoomScale="98" zoomScaleNormal="90" workbookViewId="0">
      <selection activeCell="J37" sqref="J37"/>
    </sheetView>
  </sheetViews>
  <sheetFormatPr defaultRowHeight="14.25" x14ac:dyDescent="0.45"/>
  <sheetData>
    <row r="35" spans="2:14" x14ac:dyDescent="0.45">
      <c r="B35" s="4"/>
    </row>
    <row r="39" spans="2:14" x14ac:dyDescent="0.45">
      <c r="N39" t="s">
        <v>74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Sheet1</vt:lpstr>
      <vt:lpstr>Sheet2</vt:lpstr>
      <vt:lpstr>Sheet3</vt:lpstr>
      <vt:lpstr>Sheet4</vt:lpstr>
      <vt:lpstr>Sheet7</vt:lpstr>
      <vt:lpstr>Sheet8</vt:lpstr>
      <vt:lpstr>Sheet9</vt:lpstr>
      <vt:lpstr>BACKGROUND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sanjay kumar sahoo</dc:creator>
  <cp:lastModifiedBy>sanjay kumar sahoo</cp:lastModifiedBy>
  <dcterms:created xsi:type="dcterms:W3CDTF">2025-07-12T13:16:49Z</dcterms:created>
  <dcterms:modified xsi:type="dcterms:W3CDTF">2025-12-17T17:31:58Z</dcterms:modified>
</cp:coreProperties>
</file>